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Git_alldata\Excel\project2_data\"/>
    </mc:Choice>
  </mc:AlternateContent>
  <xr:revisionPtr revIDLastSave="0" documentId="13_ncr:1_{625262B4-B069-492A-91AC-AC0D6D50A72C}" xr6:coauthVersionLast="36" xr6:coauthVersionMax="36" xr10:uidLastSave="{00000000-0000-0000-0000-000000000000}"/>
  <bookViews>
    <workbookView xWindow="0" yWindow="0" windowWidth="23040" windowHeight="8940" activeTab="4" xr2:uid="{64B39548-4A09-455D-A5FE-B6F60E74160D}"/>
  </bookViews>
  <sheets>
    <sheet name="Linear Regression" sheetId="10" r:id="rId1"/>
    <sheet name="pivot table and chart" sheetId="11" r:id="rId2"/>
    <sheet name="Descriptive Statistics" sheetId="15" r:id="rId3"/>
    <sheet name="Dataset" sheetId="1" r:id="rId4"/>
    <sheet name="Dashboard" sheetId="16"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1" l="1"/>
  <c r="W2" i="1" l="1"/>
  <c r="V2" i="1"/>
  <c r="O2" i="1" l="1"/>
  <c r="K2" i="1" l="1"/>
  <c r="R4" i="1"/>
  <c r="T2" i="1" s="1"/>
  <c r="R2" i="1"/>
  <c r="J2" i="1" l="1"/>
  <c r="P2" i="1" l="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L4" i="1" l="1"/>
  <c r="N4" i="1" s="1"/>
  <c r="L2" i="1"/>
  <c r="L14" i="1"/>
  <c r="N14" i="1" s="1"/>
  <c r="L7" i="1"/>
  <c r="N7" i="1" s="1"/>
  <c r="L5" i="1"/>
  <c r="L13" i="1"/>
  <c r="N13" i="1" s="1"/>
  <c r="L10" i="1"/>
  <c r="L8" i="1"/>
  <c r="L6" i="1"/>
  <c r="L3" i="1"/>
  <c r="N3" i="1" s="1"/>
  <c r="L12" i="1"/>
  <c r="L11" i="1"/>
  <c r="L9" i="1"/>
  <c r="N9"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N11" i="1" l="1"/>
  <c r="N12" i="1"/>
  <c r="N6" i="1"/>
  <c r="N8" i="1"/>
  <c r="N10" i="1"/>
  <c r="N5" i="1"/>
</calcChain>
</file>

<file path=xl/sharedStrings.xml><?xml version="1.0" encoding="utf-8"?>
<sst xmlns="http://schemas.openxmlformats.org/spreadsheetml/2006/main" count="937" uniqueCount="302">
  <si>
    <t>Customer_ID</t>
  </si>
  <si>
    <t>Customer_Name</t>
  </si>
  <si>
    <t>Region</t>
  </si>
  <si>
    <t>Product_Category</t>
  </si>
  <si>
    <t>Sales</t>
  </si>
  <si>
    <t>Quantity</t>
  </si>
  <si>
    <t>Discount</t>
  </si>
  <si>
    <t>Order_Date</t>
  </si>
  <si>
    <t>Profit</t>
  </si>
  <si>
    <t>James Davis</t>
  </si>
  <si>
    <t>West</t>
  </si>
  <si>
    <t>Books</t>
  </si>
  <si>
    <t>Robert Anderson</t>
  </si>
  <si>
    <t>Clothing</t>
  </si>
  <si>
    <t>James Taylor</t>
  </si>
  <si>
    <t>East</t>
  </si>
  <si>
    <t>South</t>
  </si>
  <si>
    <t>Electronics</t>
  </si>
  <si>
    <t>James Wilson</t>
  </si>
  <si>
    <t>North</t>
  </si>
  <si>
    <t>Michael Anderson</t>
  </si>
  <si>
    <t>Furniture</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</si>
  <si>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</si>
  <si>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</si>
  <si>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</si>
  <si>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</si>
  <si>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</si>
  <si>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</si>
  <si>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</si>
  <si>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</si>
  <si>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</si>
  <si>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</si>
  <si>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</si>
  <si>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</si>
  <si>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</si>
  <si>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</si>
  <si>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</si>
  <si>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</si>
  <si>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</si>
  <si>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</si>
  <si>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</si>
  <si>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</si>
  <si>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</si>
  <si>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</si>
  <si>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</si>
  <si>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</si>
  <si>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Total purchase</t>
  </si>
  <si>
    <t>Standard Error</t>
  </si>
  <si>
    <t>Mean</t>
  </si>
  <si>
    <t>Median</t>
  </si>
  <si>
    <t>Mode</t>
  </si>
  <si>
    <t>Standard Deviation</t>
  </si>
  <si>
    <t>Sample Variance</t>
  </si>
  <si>
    <t>Kurtosis</t>
  </si>
  <si>
    <t>Skewness</t>
  </si>
  <si>
    <t>Range</t>
  </si>
  <si>
    <t>Minimum</t>
  </si>
  <si>
    <t>Maximum</t>
  </si>
  <si>
    <t>Sum</t>
  </si>
  <si>
    <t>Count</t>
  </si>
  <si>
    <t>Month</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</si>
  <si>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</si>
  <si>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</si>
  <si>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</si>
  <si>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</si>
  <si>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</si>
  <si>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</si>
  <si>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</si>
  <si>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</si>
  <si>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</si>
  <si>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</si>
  <si>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</si>
  <si>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</si>
  <si>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</si>
  <si>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</si>
  <si>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</si>
  <si>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</si>
  <si>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</si>
  <si>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</si>
  <si>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</si>
  <si>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</si>
  <si>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</si>
  <si>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</si>
  <si>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</si>
  <si>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</si>
  <si>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Timestamp</t>
  </si>
  <si>
    <t>High-value Customers</t>
  </si>
  <si>
    <t>Row Labels</t>
  </si>
  <si>
    <t>Grand Total</t>
  </si>
  <si>
    <t>Column Labels</t>
  </si>
  <si>
    <t>Sum of Sales</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</si>
  <si>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</si>
  <si>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</si>
  <si>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</si>
  <si>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</si>
  <si>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</si>
  <si>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</si>
  <si>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</si>
  <si>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</si>
  <si>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</si>
  <si>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</si>
  <si>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</si>
  <si>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</si>
  <si>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</si>
  <si>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</si>
  <si>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</si>
  <si>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</si>
  <si>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</si>
  <si>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</si>
  <si>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</si>
  <si>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</si>
  <si>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</si>
  <si>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</si>
  <si>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</si>
  <si>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</si>
  <si>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</si>
  <si>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</si>
  <si>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</si>
  <si>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</si>
  <si>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</si>
  <si>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</si>
  <si>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</si>
  <si>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</si>
  <si>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</si>
  <si>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</si>
  <si>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</si>
  <si>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</si>
  <si>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</si>
  <si>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</si>
  <si>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</si>
  <si>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</si>
  <si>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</si>
  <si>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</si>
  <si>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</si>
  <si>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</si>
  <si>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</si>
  <si>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</si>
  <si>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</si>
  <si>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</si>
  <si>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</si>
  <si>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</si>
  <si>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</si>
  <si>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</si>
  <si>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</si>
  <si>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</si>
  <si>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</si>
  <si>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</si>
  <si>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</si>
  <si>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</si>
  <si>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</si>
  <si>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</si>
  <si>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</si>
  <si>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</si>
  <si>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</si>
  <si>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</si>
  <si>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</si>
  <si>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</si>
  <si>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</si>
  <si>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</si>
  <si>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</si>
  <si>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</si>
  <si>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</si>
  <si>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</si>
  <si>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</si>
  <si>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</si>
  <si>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</si>
  <si>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</si>
  <si>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</si>
  <si>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</si>
  <si>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</si>
  <si>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</si>
  <si>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</si>
  <si>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</si>
  <si>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</si>
  <si>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</si>
  <si>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</si>
  <si>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</si>
  <si>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</si>
  <si>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</si>
  <si>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</si>
  <si>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</si>
  <si>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</si>
  <si>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</si>
  <si>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</si>
  <si>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</si>
  <si>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</si>
  <si>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</si>
  <si>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</si>
  <si>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</si>
  <si>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</si>
  <si>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</si>
  <si>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</si>
  <si>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</si>
  <si>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</si>
  <si>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</si>
  <si>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</si>
  <si>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</si>
  <si>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</si>
  <si>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</si>
  <si>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</si>
  <si>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</si>
  <si>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</si>
  <si>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</si>
  <si>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</si>
  <si>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</si>
  <si>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</si>
  <si>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</si>
  <si>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</si>
  <si>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</si>
  <si>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</si>
  <si>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</si>
  <si>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</si>
  <si>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</si>
  <si>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</si>
  <si>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</si>
  <si>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</si>
  <si>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</si>
  <si>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</si>
  <si>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</si>
  <si>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</si>
  <si>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</si>
  <si>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</si>
  <si>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</si>
  <si>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</si>
  <si>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</si>
  <si>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</si>
  <si>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</si>
  <si>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</si>
  <si>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</si>
  <si>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</si>
  <si>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</si>
  <si>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</si>
  <si>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</si>
  <si>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</si>
  <si>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</si>
  <si>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</si>
  <si>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</si>
  <si>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</si>
  <si>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</si>
  <si>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</si>
  <si>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</si>
  <si>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</si>
  <si>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</si>
  <si>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</si>
  <si>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</si>
  <si>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</si>
  <si>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</si>
  <si>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</si>
  <si>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</si>
  <si>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</si>
  <si>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</si>
  <si>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</si>
  <si>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</si>
  <si>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</si>
  <si>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</si>
  <si>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</si>
  <si>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</si>
  <si>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</si>
  <si>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</si>
  <si>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</si>
  <si>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</si>
  <si>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</si>
  <si>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</si>
  <si>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</si>
  <si>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</si>
  <si>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</si>
  <si>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</si>
  <si>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</si>
  <si>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</si>
  <si>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</si>
  <si>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</si>
  <si>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</si>
  <si>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</si>
  <si>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</si>
  <si>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</si>
  <si>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</si>
  <si>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</si>
  <si>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</si>
  <si>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</si>
  <si>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</si>
  <si>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</si>
  <si>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</si>
  <si>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</si>
  <si>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</si>
  <si>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</si>
  <si>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</si>
  <si>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</si>
  <si>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</si>
  <si>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</si>
  <si>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</si>
  <si>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</si>
  <si>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WHAT IF ( Scenario Manager )</t>
  </si>
  <si>
    <t>Total Profit</t>
  </si>
  <si>
    <t>Final Profit</t>
  </si>
  <si>
    <t>WHAT IF (Data Table)</t>
  </si>
  <si>
    <t>Total Month Growth</t>
  </si>
  <si>
    <t>-</t>
  </si>
  <si>
    <t>Difference Month</t>
  </si>
  <si>
    <t>Total Quantity</t>
  </si>
  <si>
    <t>Total sales</t>
  </si>
  <si>
    <t>Month Name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</si>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</sst>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i/>
      <sz val="11"/>
      <color theme="1"/>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4" tint="0.39997558519241921"/>
        <bgColor indexed="64"/>
      </patternFill>
    </fill>
  </fills>
  <borders count="16">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medium">
        <color rgb="FFCCCCCC"/>
      </bottom>
      <diagonal/>
    </border>
    <border>
      <left style="thin">
        <color indexed="64"/>
      </left>
      <right style="thin">
        <color indexed="64"/>
      </right>
      <top/>
      <bottom style="medium">
        <color rgb="FFCCCCCC"/>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xf numFmtId="9" fontId="3" fillId="0" borderId="0" applyFont="0" applyFill="0" applyBorder="0" applyAlignment="0" applyProtection="0"/>
  </cellStyleXfs>
  <cellXfs count="51">
    <xf numFmtId="0" fontId="0" fillId="0" borderId="0" xfId="0"/>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2" borderId="3" xfId="0" applyFill="1" applyBorder="1" applyAlignment="1"/>
    <xf numFmtId="0" fontId="0" fillId="2" borderId="3" xfId="0" applyFill="1" applyBorder="1"/>
    <xf numFmtId="0" fontId="0" fillId="4" borderId="3" xfId="0" applyFill="1" applyBorder="1"/>
    <xf numFmtId="0" fontId="0" fillId="4" borderId="12" xfId="0" applyFill="1" applyBorder="1"/>
    <xf numFmtId="0" fontId="5" fillId="5" borderId="6" xfId="0" applyFont="1" applyFill="1" applyBorder="1" applyAlignment="1">
      <alignment horizontal="left" wrapText="1"/>
    </xf>
    <xf numFmtId="0" fontId="5" fillId="5" borderId="13" xfId="0" applyFont="1" applyFill="1" applyBorder="1" applyAlignment="1">
      <alignment horizontal="left" wrapText="1"/>
    </xf>
    <xf numFmtId="0" fontId="5" fillId="5" borderId="4" xfId="0" applyFont="1" applyFill="1" applyBorder="1" applyAlignment="1">
      <alignment horizontal="left" wrapText="1"/>
    </xf>
    <xf numFmtId="0" fontId="0" fillId="4" borderId="12" xfId="0" applyFill="1" applyBorder="1" applyAlignment="1">
      <alignment wrapText="1"/>
    </xf>
    <xf numFmtId="0" fontId="0" fillId="4" borderId="3" xfId="0" applyFill="1" applyBorder="1" applyAlignment="1">
      <alignment wrapText="1"/>
    </xf>
    <xf numFmtId="0" fontId="0" fillId="4" borderId="3" xfId="0" applyFill="1" applyBorder="1" applyAlignment="1">
      <alignment horizontal="right" wrapText="1"/>
    </xf>
    <xf numFmtId="14" fontId="0" fillId="4" borderId="3" xfId="0" applyNumberFormat="1" applyFill="1" applyBorder="1" applyAlignment="1">
      <alignment horizontal="right" wrapText="1"/>
    </xf>
    <xf numFmtId="0" fontId="0" fillId="4" borderId="14" xfId="0" applyFill="1" applyBorder="1" applyAlignment="1">
      <alignment horizontal="right" wrapText="1"/>
    </xf>
    <xf numFmtId="0" fontId="0" fillId="4" borderId="9" xfId="0" applyFill="1" applyBorder="1" applyAlignment="1">
      <alignment wrapText="1"/>
    </xf>
    <xf numFmtId="0" fontId="0" fillId="4" borderId="15" xfId="0" applyFill="1" applyBorder="1" applyAlignment="1">
      <alignment wrapText="1"/>
    </xf>
    <xf numFmtId="0" fontId="0" fillId="4" borderId="15" xfId="0" applyFill="1" applyBorder="1" applyAlignment="1">
      <alignment horizontal="right" wrapText="1"/>
    </xf>
    <xf numFmtId="14" fontId="0" fillId="4" borderId="15" xfId="0" applyNumberFormat="1" applyFill="1" applyBorder="1" applyAlignment="1">
      <alignment horizontal="right" wrapText="1"/>
    </xf>
    <xf numFmtId="0" fontId="0" fillId="4" borderId="8" xfId="0" applyFill="1" applyBorder="1" applyAlignment="1">
      <alignment horizontal="right" wrapText="1"/>
    </xf>
    <xf numFmtId="0" fontId="1" fillId="5" borderId="12" xfId="0" applyFont="1" applyFill="1" applyBorder="1" applyAlignment="1">
      <alignment wrapText="1"/>
    </xf>
    <xf numFmtId="0" fontId="1" fillId="5" borderId="3" xfId="0" applyFont="1" applyFill="1" applyBorder="1" applyAlignment="1">
      <alignment wrapText="1"/>
    </xf>
    <xf numFmtId="0" fontId="0" fillId="4" borderId="3" xfId="0" applyFill="1" applyBorder="1" applyAlignment="1">
      <alignment horizontal="center" vertical="center"/>
    </xf>
    <xf numFmtId="22" fontId="0" fillId="4" borderId="3" xfId="0" applyNumberFormat="1" applyFill="1" applyBorder="1"/>
    <xf numFmtId="0" fontId="1" fillId="5" borderId="14" xfId="0" applyFont="1" applyFill="1" applyBorder="1" applyAlignment="1">
      <alignment wrapText="1"/>
    </xf>
    <xf numFmtId="0" fontId="0" fillId="4" borderId="14" xfId="0" applyFill="1" applyBorder="1"/>
    <xf numFmtId="9" fontId="0" fillId="4" borderId="3" xfId="0" applyNumberFormat="1" applyFill="1" applyBorder="1"/>
    <xf numFmtId="9" fontId="0" fillId="4" borderId="14" xfId="0" applyNumberFormat="1" applyFill="1" applyBorder="1"/>
    <xf numFmtId="0" fontId="0" fillId="4" borderId="14" xfId="0" applyNumberFormat="1" applyFill="1" applyBorder="1"/>
    <xf numFmtId="17" fontId="0" fillId="4" borderId="3" xfId="0" applyNumberFormat="1" applyFill="1" applyBorder="1"/>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0" fillId="0" borderId="7" xfId="0"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5" borderId="3" xfId="0" applyFont="1" applyFill="1" applyBorder="1" applyAlignment="1">
      <alignment horizontal="center" wrapText="1"/>
    </xf>
    <xf numFmtId="0" fontId="1" fillId="5" borderId="14" xfId="0" applyFont="1" applyFill="1" applyBorder="1" applyAlignment="1">
      <alignment horizontal="center" wrapText="1"/>
    </xf>
  </cellXfs>
  <cellStyles count="3">
    <cellStyle name="Normal" xfId="0" builtinId="0"/>
    <cellStyle name="Normal 2" xfId="1" xr:uid="{00000000-0005-0000-0000-00002F000000}"/>
    <cellStyle name="Percent 2" xfId="2" xr:uid="{00000000-0005-0000-0000-000030000000}"/>
  </cellStyles>
  <dxfs count="18">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dd/mm/yyyy"/>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4" tint="0.39997558519241921"/>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39994506668294322"/>
        </patternFill>
      </fill>
    </dxf>
    <dxf>
      <fill>
        <patternFill>
          <bgColor theme="4" tint="0.59996337778862885"/>
        </patternFill>
      </fill>
    </dxf>
    <dxf>
      <font>
        <b/>
        <color theme="1"/>
      </font>
      <border>
        <bottom style="thin">
          <color theme="5"/>
        </bottom>
        <vertical/>
        <horizontal/>
      </border>
    </dxf>
    <dxf>
      <fill>
        <gradientFill degree="270">
          <stop position="0">
            <color theme="1"/>
          </stop>
          <stop position="1">
            <color theme="4"/>
          </stop>
        </gradientFill>
      </fill>
    </dxf>
  </dxfs>
  <tableStyles count="3" defaultTableStyle="TableStyleMedium2" defaultPivotStyle="PivotStyleLight16">
    <tableStyle name="Slicer Style 1" pivot="0" table="0" count="1" xr9:uid="{10C27E73-5BCD-45C8-87ED-5713A8988D40}">
      <tableStyleElement type="wholeTable" dxfId="17"/>
    </tableStyle>
    <tableStyle name="Slicer Style 2" pivot="0" table="0" count="0" xr9:uid="{192405B5-03CD-4D0D-9D9E-9C0393A68060}"/>
    <tableStyle name="SlicerStyleDark2 2" pivot="0" table="0" count="1" xr9:uid="{7C307C80-B43E-482D-95CC-A7E12E2F7033}">
      <tableStyleElement type="headerRow" dxfId="16"/>
    </tableStyle>
  </tableStyles>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and chart'!$B$3:$B$4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901-4B1A-AFB5-33002927476B}"/>
            </c:ext>
          </c:extLst>
        </c:ser>
        <c:ser>
          <c:idx val="1"/>
          <c:order val="1"/>
          <c:tx>
            <c:strRef>
              <c:f>'pivot table and chart'!$C$3:$C$4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6901-4B1A-AFB5-33002927476B}"/>
            </c:ext>
          </c:extLst>
        </c:ser>
        <c:ser>
          <c:idx val="2"/>
          <c:order val="2"/>
          <c:tx>
            <c:strRef>
              <c:f>'pivot table and chart'!$D$3:$D$4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6901-4B1A-AFB5-33002927476B}"/>
            </c:ext>
          </c:extLst>
        </c:ser>
        <c:ser>
          <c:idx val="3"/>
          <c:order val="3"/>
          <c:tx>
            <c:strRef>
              <c:f>'pivot table and chart'!$E$3:$E$4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49C0-429C-9AB1-11D042EA70B5}"/>
            </c:ext>
          </c:extLst>
        </c:ser>
        <c:ser>
          <c:idx val="4"/>
          <c:order val="4"/>
          <c:tx>
            <c:strRef>
              <c:f>'pivot table and chart'!$F$3:$F$4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49C0-429C-9AB1-11D042EA70B5}"/>
            </c:ext>
          </c:extLst>
        </c:ser>
        <c:dLbls>
          <c:showLegendKey val="0"/>
          <c:showVal val="0"/>
          <c:showCatName val="0"/>
          <c:showSerName val="0"/>
          <c:showPercent val="0"/>
          <c:showBubbleSize val="0"/>
        </c:dLbls>
        <c:gapWidth val="100"/>
        <c:overlap val="-24"/>
        <c:axId val="1838373503"/>
        <c:axId val="1634238623"/>
      </c:barChart>
      <c:catAx>
        <c:axId val="1838373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8623"/>
        <c:crosses val="autoZero"/>
        <c:auto val="1"/>
        <c:lblAlgn val="ctr"/>
        <c:lblOffset val="100"/>
        <c:noMultiLvlLbl val="0"/>
      </c:catAx>
      <c:valAx>
        <c:axId val="163423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and chart'!$B$3:$B$4</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00CB-4886-A956-30843311351A}"/>
            </c:ext>
          </c:extLst>
        </c:ser>
        <c:ser>
          <c:idx val="1"/>
          <c:order val="1"/>
          <c:tx>
            <c:strRef>
              <c:f>'pivot table and chart'!$C$3:$C$4</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00CB-4886-A956-30843311351A}"/>
            </c:ext>
          </c:extLst>
        </c:ser>
        <c:ser>
          <c:idx val="2"/>
          <c:order val="2"/>
          <c:tx>
            <c:strRef>
              <c:f>'pivot table and chart'!$D$3:$D$4</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00CB-4886-A956-30843311351A}"/>
            </c:ext>
          </c:extLst>
        </c:ser>
        <c:ser>
          <c:idx val="3"/>
          <c:order val="3"/>
          <c:tx>
            <c:strRef>
              <c:f>'pivot table and chart'!$E$3:$E$4</c:f>
              <c:strCache>
                <c:ptCount val="1"/>
                <c:pt idx="0">
                  <c:v>Furniture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8-4B7D-4498-8E22-D5DC0870BBF5}"/>
            </c:ext>
          </c:extLst>
        </c:ser>
        <c:ser>
          <c:idx val="4"/>
          <c:order val="4"/>
          <c:tx>
            <c:strRef>
              <c:f>'pivot table and chart'!$F$3:$F$4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9-4B7D-4498-8E22-D5DC0870BBF5}"/>
            </c:ext>
          </c:extLst>
        </c:ser>
        <c:dLbls>
          <c:showLegendKey val="0"/>
          <c:showVal val="0"/>
          <c:showCatName val="0"/>
          <c:showSerName val="0"/>
          <c:showPercent val="0"/>
          <c:showBubbleSize val="0"/>
        </c:dLbls>
        <c:marker val="1"/>
        <c:smooth val="0"/>
        <c:axId val="1931436527"/>
        <c:axId val="1938443551"/>
      </c:lineChart>
      <c:catAx>
        <c:axId val="193143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43551"/>
        <c:crosses val="autoZero"/>
        <c:auto val="1"/>
        <c:lblAlgn val="ctr"/>
        <c:lblOffset val="100"/>
        <c:noMultiLvlLbl val="0"/>
      </c:catAx>
      <c:valAx>
        <c:axId val="193844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chart'!$B$3:$B$4</c:f>
              <c:strCache>
                <c:ptCount val="1"/>
                <c:pt idx="0">
                  <c:v>Books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3BD6-4974-8835-56677905FE24}"/>
            </c:ext>
          </c:extLst>
        </c:ser>
        <c:ser>
          <c:idx val="1"/>
          <c:order val="1"/>
          <c:tx>
            <c:strRef>
              <c:f>'pivot table and chart'!$C$3:$C$4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3BD6-4974-8835-56677905FE24}"/>
            </c:ext>
          </c:extLst>
        </c:ser>
        <c:ser>
          <c:idx val="2"/>
          <c:order val="2"/>
          <c:tx>
            <c:strRef>
              <c:f>'pivot table and chart'!$D$3:$D$4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3BD6-4974-8835-56677905FE24}"/>
            </c:ext>
          </c:extLst>
        </c:ser>
        <c:ser>
          <c:idx val="3"/>
          <c:order val="3"/>
          <c:tx>
            <c:strRef>
              <c:f>'pivot table and chart'!$E$3:$E$4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EF6-41CE-8A91-3E94C0B66B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EF6-41CE-8A91-3E94C0B66B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EF6-41CE-8A91-3E94C0B66B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EF6-41CE-8A91-3E94C0B66B2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EF6-41CE-8A91-3E94C0B66B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3A-FCBD-4FAB-8B0F-8B62B57AD3AA}"/>
            </c:ext>
          </c:extLst>
        </c:ser>
        <c:ser>
          <c:idx val="4"/>
          <c:order val="4"/>
          <c:tx>
            <c:strRef>
              <c:f>'pivot table and chart'!$F$3:$F$4</c:f>
              <c:strCache>
                <c:ptCount val="1"/>
                <c:pt idx="0">
                  <c:v>Office 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EF6-41CE-8A91-3E94C0B66B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EF6-41CE-8A91-3E94C0B66B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EF6-41CE-8A91-3E94C0B66B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EF6-41CE-8A91-3E94C0B66B2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EF6-41CE-8A91-3E94C0B66B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B-FCBD-4FAB-8B0F-8B62B57AD3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and chart'!$B$3:$B$4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2F5B-4589-AC11-AA1EBACEA082}"/>
            </c:ext>
          </c:extLst>
        </c:ser>
        <c:ser>
          <c:idx val="1"/>
          <c:order val="1"/>
          <c:tx>
            <c:strRef>
              <c:f>'pivot table and chart'!$C$3:$C$4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2F5B-4589-AC11-AA1EBACEA082}"/>
            </c:ext>
          </c:extLst>
        </c:ser>
        <c:ser>
          <c:idx val="2"/>
          <c:order val="2"/>
          <c:tx>
            <c:strRef>
              <c:f>'pivot table and chart'!$D$3:$D$4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2F5B-4589-AC11-AA1EBACEA082}"/>
            </c:ext>
          </c:extLst>
        </c:ser>
        <c:ser>
          <c:idx val="3"/>
          <c:order val="3"/>
          <c:tx>
            <c:strRef>
              <c:f>'pivot table and chart'!$E$3:$E$4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F9FC-4486-852D-FBD68CF94858}"/>
            </c:ext>
          </c:extLst>
        </c:ser>
        <c:ser>
          <c:idx val="4"/>
          <c:order val="4"/>
          <c:tx>
            <c:strRef>
              <c:f>'pivot table and chart'!$F$3:$F$4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F9FC-4486-852D-FBD68CF94858}"/>
            </c:ext>
          </c:extLst>
        </c:ser>
        <c:dLbls>
          <c:showLegendKey val="0"/>
          <c:showVal val="0"/>
          <c:showCatName val="0"/>
          <c:showSerName val="0"/>
          <c:showPercent val="0"/>
          <c:showBubbleSize val="0"/>
        </c:dLbls>
        <c:gapWidth val="100"/>
        <c:overlap val="-24"/>
        <c:axId val="1838373503"/>
        <c:axId val="1634238623"/>
      </c:barChart>
      <c:catAx>
        <c:axId val="1838373503"/>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8623"/>
        <c:crosses val="autoZero"/>
        <c:auto val="1"/>
        <c:lblAlgn val="ctr"/>
        <c:lblOffset val="100"/>
        <c:noMultiLvlLbl val="0"/>
      </c:catAx>
      <c:valAx>
        <c:axId val="163423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3503"/>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and chart'!$B$3:$B$4</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43B7-426F-B6F9-782E7DCC5E2E}"/>
            </c:ext>
          </c:extLst>
        </c:ser>
        <c:ser>
          <c:idx val="1"/>
          <c:order val="1"/>
          <c:tx>
            <c:strRef>
              <c:f>'pivot table and chart'!$C$3:$C$4</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43B7-426F-B6F9-782E7DCC5E2E}"/>
            </c:ext>
          </c:extLst>
        </c:ser>
        <c:ser>
          <c:idx val="2"/>
          <c:order val="2"/>
          <c:tx>
            <c:strRef>
              <c:f>'pivot table and chart'!$D$3:$D$4</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43B7-426F-B6F9-782E7DCC5E2E}"/>
            </c:ext>
          </c:extLst>
        </c:ser>
        <c:ser>
          <c:idx val="3"/>
          <c:order val="3"/>
          <c:tx>
            <c:strRef>
              <c:f>'pivot table and chart'!$E$3:$E$4</c:f>
              <c:strCache>
                <c:ptCount val="1"/>
                <c:pt idx="0">
                  <c:v>Furniture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8-1DBF-4E01-9557-152B8A4C37EE}"/>
            </c:ext>
          </c:extLst>
        </c:ser>
        <c:ser>
          <c:idx val="4"/>
          <c:order val="4"/>
          <c:tx>
            <c:strRef>
              <c:f>'pivot table and chart'!$F$3:$F$4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9-1DBF-4E01-9557-152B8A4C37EE}"/>
            </c:ext>
          </c:extLst>
        </c:ser>
        <c:dLbls>
          <c:showLegendKey val="0"/>
          <c:showVal val="0"/>
          <c:showCatName val="0"/>
          <c:showSerName val="0"/>
          <c:showPercent val="0"/>
          <c:showBubbleSize val="0"/>
        </c:dLbls>
        <c:marker val="1"/>
        <c:smooth val="0"/>
        <c:axId val="1931436527"/>
        <c:axId val="1938443551"/>
      </c:lineChart>
      <c:catAx>
        <c:axId val="1931436527"/>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43551"/>
        <c:crosses val="autoZero"/>
        <c:auto val="1"/>
        <c:lblAlgn val="ctr"/>
        <c:lblOffset val="100"/>
        <c:noMultiLvlLbl val="0"/>
      </c:catAx>
      <c:valAx>
        <c:axId val="193844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652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Books</a:t>
            </a:r>
          </a:p>
        </c:rich>
      </c:tx>
      <c:overlay val="0"/>
      <c:spPr>
        <a:solidFill>
          <a:schemeClr val="bg1"/>
        </a:solid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chart'!$B$3:$B$4</c:f>
              <c:strCache>
                <c:ptCount val="1"/>
                <c:pt idx="0">
                  <c:v>Books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F6-D44A-4E4D-8988-1C878970DFE1}"/>
            </c:ext>
          </c:extLst>
        </c:ser>
        <c:ser>
          <c:idx val="1"/>
          <c:order val="1"/>
          <c:tx>
            <c:strRef>
              <c:f>'pivot table and chart'!$C$3:$C$4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102-D44A-4E4D-8988-1C878970DFE1}"/>
            </c:ext>
          </c:extLst>
        </c:ser>
        <c:ser>
          <c:idx val="2"/>
          <c:order val="2"/>
          <c:tx>
            <c:strRef>
              <c:f>'pivot table and chart'!$D$3:$D$4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10E-D44A-4E4D-8988-1C878970DFE1}"/>
            </c:ext>
          </c:extLst>
        </c:ser>
        <c:ser>
          <c:idx val="3"/>
          <c:order val="3"/>
          <c:tx>
            <c:strRef>
              <c:f>'pivot table and chart'!$E$3:$E$4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23-4573-A47F-01D4451D97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23-4573-A47F-01D4451D97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23-4573-A47F-01D4451D97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23-4573-A47F-01D4451D978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23-4573-A47F-01D4451D9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3A-CA80-4BA1-826D-B10A6D6DF3CC}"/>
            </c:ext>
          </c:extLst>
        </c:ser>
        <c:ser>
          <c:idx val="4"/>
          <c:order val="4"/>
          <c:tx>
            <c:strRef>
              <c:f>'pivot table and chart'!$F$3:$F$4</c:f>
              <c:strCache>
                <c:ptCount val="1"/>
                <c:pt idx="0">
                  <c:v>Office 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23-4573-A47F-01D4451D97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23-4573-A47F-01D4451D97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23-4573-A47F-01D4451D97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23-4573-A47F-01D4451D978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23-4573-A47F-01D4451D9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B-CA80-4BA1-826D-B10A6D6DF3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tx1">
        <a:lumMod val="75000"/>
        <a:lumOff val="25000"/>
      </a:schemeClr>
    </a:soli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3005</xdr:rowOff>
    </xdr:from>
    <xdr:to>
      <xdr:col>5</xdr:col>
      <xdr:colOff>723900</xdr:colOff>
      <xdr:row>26</xdr:row>
      <xdr:rowOff>3005</xdr:rowOff>
    </xdr:to>
    <xdr:graphicFrame macro="">
      <xdr:nvGraphicFramePr>
        <xdr:cNvPr id="2" name="Chart 1">
          <a:extLst>
            <a:ext uri="{FF2B5EF4-FFF2-40B4-BE49-F238E27FC236}">
              <a16:creationId xmlns:a16="http://schemas.microsoft.com/office/drawing/2014/main" id="{31ADA39F-826D-4434-9366-B49F1C334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8792</xdr:colOff>
      <xdr:row>10</xdr:row>
      <xdr:rowOff>180730</xdr:rowOff>
    </xdr:from>
    <xdr:to>
      <xdr:col>13</xdr:col>
      <xdr:colOff>184638</xdr:colOff>
      <xdr:row>26</xdr:row>
      <xdr:rowOff>12048</xdr:rowOff>
    </xdr:to>
    <xdr:graphicFrame macro="">
      <xdr:nvGraphicFramePr>
        <xdr:cNvPr id="3" name="Chart 2">
          <a:extLst>
            <a:ext uri="{FF2B5EF4-FFF2-40B4-BE49-F238E27FC236}">
              <a16:creationId xmlns:a16="http://schemas.microsoft.com/office/drawing/2014/main" id="{8B250B6F-7AA5-4F37-B7FD-15F3F5E61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547056</xdr:colOff>
      <xdr:row>10</xdr:row>
      <xdr:rowOff>181624</xdr:rowOff>
    </xdr:from>
    <xdr:to>
      <xdr:col>21</xdr:col>
      <xdr:colOff>251815</xdr:colOff>
      <xdr:row>26</xdr:row>
      <xdr:rowOff>40695</xdr:rowOff>
    </xdr:to>
    <xdr:graphicFrame macro="">
      <xdr:nvGraphicFramePr>
        <xdr:cNvPr id="4" name="Chart 3">
          <a:extLst>
            <a:ext uri="{FF2B5EF4-FFF2-40B4-BE49-F238E27FC236}">
              <a16:creationId xmlns:a16="http://schemas.microsoft.com/office/drawing/2014/main" id="{57168CE6-A8C5-4278-B8C6-A39BBBE2C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9607</xdr:colOff>
      <xdr:row>1</xdr:row>
      <xdr:rowOff>11266</xdr:rowOff>
    </xdr:from>
    <xdr:to>
      <xdr:col>10</xdr:col>
      <xdr:colOff>337931</xdr:colOff>
      <xdr:row>10</xdr:row>
      <xdr:rowOff>33132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73696ED6-D096-4BC5-8A12-FE45514D5B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91746" y="196796"/>
              <a:ext cx="1627037"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55433</xdr:colOff>
      <xdr:row>0</xdr:row>
      <xdr:rowOff>61893</xdr:rowOff>
    </xdr:from>
    <xdr:to>
      <xdr:col>23</xdr:col>
      <xdr:colOff>8080</xdr:colOff>
      <xdr:row>29</xdr:row>
      <xdr:rowOff>164969</xdr:rowOff>
    </xdr:to>
    <xdr:sp macro="" textlink="">
      <xdr:nvSpPr>
        <xdr:cNvPr id="2" name="Rectangle: Rounded Corners 1">
          <a:extLst>
            <a:ext uri="{FF2B5EF4-FFF2-40B4-BE49-F238E27FC236}">
              <a16:creationId xmlns:a16="http://schemas.microsoft.com/office/drawing/2014/main" id="{891ADDB2-3D34-4EF8-B2F2-B46BF8DD6AF5}"/>
            </a:ext>
          </a:extLst>
        </xdr:cNvPr>
        <xdr:cNvSpPr/>
      </xdr:nvSpPr>
      <xdr:spPr>
        <a:xfrm>
          <a:off x="55433" y="61893"/>
          <a:ext cx="14045719" cy="5342808"/>
        </a:xfrm>
        <a:prstGeom prst="roundRect">
          <a:avLst>
            <a:gd name="adj" fmla="val 1533"/>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0</xdr:col>
      <xdr:colOff>112777</xdr:colOff>
      <xdr:row>0</xdr:row>
      <xdr:rowOff>114300</xdr:rowOff>
    </xdr:from>
    <xdr:to>
      <xdr:col>22</xdr:col>
      <xdr:colOff>562357</xdr:colOff>
      <xdr:row>4</xdr:row>
      <xdr:rowOff>125690</xdr:rowOff>
    </xdr:to>
    <xdr:sp macro="" textlink="">
      <xdr:nvSpPr>
        <xdr:cNvPr id="3" name="Rectangle: Rounded Corners 2">
          <a:extLst>
            <a:ext uri="{FF2B5EF4-FFF2-40B4-BE49-F238E27FC236}">
              <a16:creationId xmlns:a16="http://schemas.microsoft.com/office/drawing/2014/main" id="{90222658-2638-4737-9CDF-799FC3271D33}"/>
            </a:ext>
          </a:extLst>
        </xdr:cNvPr>
        <xdr:cNvSpPr/>
      </xdr:nvSpPr>
      <xdr:spPr>
        <a:xfrm>
          <a:off x="112777" y="114300"/>
          <a:ext cx="13929910" cy="734112"/>
        </a:xfrm>
        <a:prstGeom prst="roundRect">
          <a:avLst>
            <a:gd name="adj" fmla="val 10417"/>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a:latin typeface="Arial" panose="020B0604020202020204" pitchFamily="34" charset="0"/>
              <a:cs typeface="Arial" panose="020B0604020202020204" pitchFamily="34" charset="0"/>
            </a:rPr>
            <a:t>SALES</a:t>
          </a:r>
          <a:r>
            <a:rPr lang="en-IN" sz="2400" b="1" i="0" baseline="0">
              <a:latin typeface="Arial" panose="020B0604020202020204" pitchFamily="34" charset="0"/>
              <a:cs typeface="Arial" panose="020B0604020202020204" pitchFamily="34" charset="0"/>
            </a:rPr>
            <a:t> ANALYSIS DASHBOARD</a:t>
          </a:r>
          <a:endParaRPr lang="en-IN" sz="2400" b="1" i="0">
            <a:latin typeface="Arial" panose="020B0604020202020204" pitchFamily="34" charset="0"/>
            <a:cs typeface="Arial" panose="020B0604020202020204" pitchFamily="34" charset="0"/>
          </a:endParaRPr>
        </a:p>
      </xdr:txBody>
    </xdr:sp>
    <xdr:clientData/>
  </xdr:twoCellAnchor>
  <xdr:twoCellAnchor editAs="oneCell">
    <xdr:from>
      <xdr:col>6</xdr:col>
      <xdr:colOff>392780</xdr:colOff>
      <xdr:row>1</xdr:row>
      <xdr:rowOff>59781</xdr:rowOff>
    </xdr:from>
    <xdr:to>
      <xdr:col>7</xdr:col>
      <xdr:colOff>264655</xdr:colOff>
      <xdr:row>3</xdr:row>
      <xdr:rowOff>177442</xdr:rowOff>
    </xdr:to>
    <xdr:pic>
      <xdr:nvPicPr>
        <xdr:cNvPr id="6" name="Graphic 5" descr="Bar graph with upward trend">
          <a:extLst>
            <a:ext uri="{FF2B5EF4-FFF2-40B4-BE49-F238E27FC236}">
              <a16:creationId xmlns:a16="http://schemas.microsoft.com/office/drawing/2014/main" id="{E70F8A42-A598-45E2-A7D8-A8382E21BA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69234" y="240461"/>
          <a:ext cx="484617" cy="479022"/>
        </a:xfrm>
        <a:prstGeom prst="rect">
          <a:avLst/>
        </a:prstGeom>
      </xdr:spPr>
    </xdr:pic>
    <xdr:clientData/>
  </xdr:twoCellAnchor>
  <xdr:twoCellAnchor editAs="oneCell">
    <xdr:from>
      <xdr:col>15</xdr:col>
      <xdr:colOff>307403</xdr:colOff>
      <xdr:row>1</xdr:row>
      <xdr:rowOff>75021</xdr:rowOff>
    </xdr:from>
    <xdr:to>
      <xdr:col>16</xdr:col>
      <xdr:colOff>177617</xdr:colOff>
      <xdr:row>4</xdr:row>
      <xdr:rowOff>7855</xdr:rowOff>
    </xdr:to>
    <xdr:pic>
      <xdr:nvPicPr>
        <xdr:cNvPr id="8" name="Graphic 7" descr="Bar graph with upward trend RTL">
          <a:extLst>
            <a:ext uri="{FF2B5EF4-FFF2-40B4-BE49-F238E27FC236}">
              <a16:creationId xmlns:a16="http://schemas.microsoft.com/office/drawing/2014/main" id="{E1B03EFD-8F1B-48B4-A659-583381C18A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498537" y="255701"/>
          <a:ext cx="482956" cy="474876"/>
        </a:xfrm>
        <a:prstGeom prst="rect">
          <a:avLst/>
        </a:prstGeom>
      </xdr:spPr>
    </xdr:pic>
    <xdr:clientData/>
  </xdr:twoCellAnchor>
  <xdr:twoCellAnchor>
    <xdr:from>
      <xdr:col>0</xdr:col>
      <xdr:colOff>117835</xdr:colOff>
      <xdr:row>14</xdr:row>
      <xdr:rowOff>7855</xdr:rowOff>
    </xdr:from>
    <xdr:to>
      <xdr:col>7</xdr:col>
      <xdr:colOff>384929</xdr:colOff>
      <xdr:row>29</xdr:row>
      <xdr:rowOff>86412</xdr:rowOff>
    </xdr:to>
    <xdr:graphicFrame macro="">
      <xdr:nvGraphicFramePr>
        <xdr:cNvPr id="9" name="Chart 8">
          <a:extLst>
            <a:ext uri="{FF2B5EF4-FFF2-40B4-BE49-F238E27FC236}">
              <a16:creationId xmlns:a16="http://schemas.microsoft.com/office/drawing/2014/main" id="{55AEB689-45A0-4EC1-8D6D-A7219A0FD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447774</xdr:colOff>
      <xdr:row>14</xdr:row>
      <xdr:rowOff>7855</xdr:rowOff>
    </xdr:from>
    <xdr:to>
      <xdr:col>15</xdr:col>
      <xdr:colOff>204247</xdr:colOff>
      <xdr:row>29</xdr:row>
      <xdr:rowOff>62844</xdr:rowOff>
    </xdr:to>
    <xdr:graphicFrame macro="">
      <xdr:nvGraphicFramePr>
        <xdr:cNvPr id="10" name="Chart 9">
          <a:extLst>
            <a:ext uri="{FF2B5EF4-FFF2-40B4-BE49-F238E27FC236}">
              <a16:creationId xmlns:a16="http://schemas.microsoft.com/office/drawing/2014/main" id="{07D1B80E-C7CC-4724-ADBA-DD28C08F7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282806</xdr:colOff>
      <xdr:row>14</xdr:row>
      <xdr:rowOff>7854</xdr:rowOff>
    </xdr:from>
    <xdr:to>
      <xdr:col>22</xdr:col>
      <xdr:colOff>534187</xdr:colOff>
      <xdr:row>29</xdr:row>
      <xdr:rowOff>86412</xdr:rowOff>
    </xdr:to>
    <xdr:graphicFrame macro="">
      <xdr:nvGraphicFramePr>
        <xdr:cNvPr id="11" name="Chart 10">
          <a:extLst>
            <a:ext uri="{FF2B5EF4-FFF2-40B4-BE49-F238E27FC236}">
              <a16:creationId xmlns:a16="http://schemas.microsoft.com/office/drawing/2014/main" id="{B46D4601-63E9-4F0C-B736-45456783C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297030</xdr:colOff>
      <xdr:row>7</xdr:row>
      <xdr:rowOff>7327</xdr:rowOff>
    </xdr:from>
    <xdr:to>
      <xdr:col>9</xdr:col>
      <xdr:colOff>321351</xdr:colOff>
      <xdr:row>12</xdr:row>
      <xdr:rowOff>3022</xdr:rowOff>
    </xdr:to>
    <xdr:sp macro="" textlink="">
      <xdr:nvSpPr>
        <xdr:cNvPr id="7" name="Rectangle 6">
          <a:extLst>
            <a:ext uri="{FF2B5EF4-FFF2-40B4-BE49-F238E27FC236}">
              <a16:creationId xmlns:a16="http://schemas.microsoft.com/office/drawing/2014/main" id="{261829F0-B00D-418A-9633-500C78A03FF2}"/>
            </a:ext>
          </a:extLst>
        </xdr:cNvPr>
        <xdr:cNvSpPr/>
      </xdr:nvSpPr>
      <xdr:spPr>
        <a:xfrm>
          <a:off x="3973484" y="1272090"/>
          <a:ext cx="1862547" cy="899097"/>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430098</xdr:colOff>
      <xdr:row>7</xdr:row>
      <xdr:rowOff>20753</xdr:rowOff>
    </xdr:from>
    <xdr:to>
      <xdr:col>14</xdr:col>
      <xdr:colOff>451594</xdr:colOff>
      <xdr:row>12</xdr:row>
      <xdr:rowOff>2</xdr:rowOff>
    </xdr:to>
    <xdr:sp macro="" textlink="">
      <xdr:nvSpPr>
        <xdr:cNvPr id="12" name="Rectangle 11">
          <a:extLst>
            <a:ext uri="{FF2B5EF4-FFF2-40B4-BE49-F238E27FC236}">
              <a16:creationId xmlns:a16="http://schemas.microsoft.com/office/drawing/2014/main" id="{ACCA1038-D95F-4B9C-8136-360B57114318}"/>
            </a:ext>
          </a:extLst>
        </xdr:cNvPr>
        <xdr:cNvSpPr/>
      </xdr:nvSpPr>
      <xdr:spPr>
        <a:xfrm>
          <a:off x="7170263" y="1285516"/>
          <a:ext cx="1859723" cy="882651"/>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32485</xdr:colOff>
      <xdr:row>7</xdr:row>
      <xdr:rowOff>46851</xdr:rowOff>
    </xdr:from>
    <xdr:to>
      <xdr:col>20</xdr:col>
      <xdr:colOff>56806</xdr:colOff>
      <xdr:row>12</xdr:row>
      <xdr:rowOff>15091</xdr:rowOff>
    </xdr:to>
    <xdr:sp macro="" textlink="">
      <xdr:nvSpPr>
        <xdr:cNvPr id="13" name="Rectangle 12">
          <a:extLst>
            <a:ext uri="{FF2B5EF4-FFF2-40B4-BE49-F238E27FC236}">
              <a16:creationId xmlns:a16="http://schemas.microsoft.com/office/drawing/2014/main" id="{756D5259-A7AA-4392-9181-99A916ACB03C}"/>
            </a:ext>
          </a:extLst>
        </xdr:cNvPr>
        <xdr:cNvSpPr/>
      </xdr:nvSpPr>
      <xdr:spPr>
        <a:xfrm>
          <a:off x="10449104" y="1311614"/>
          <a:ext cx="1862547" cy="871642"/>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439919</xdr:colOff>
      <xdr:row>6</xdr:row>
      <xdr:rowOff>90534</xdr:rowOff>
    </xdr:from>
    <xdr:to>
      <xdr:col>10</xdr:col>
      <xdr:colOff>54989</xdr:colOff>
      <xdr:row>11</xdr:row>
      <xdr:rowOff>15711</xdr:rowOff>
    </xdr:to>
    <xdr:sp macro="" textlink="">
      <xdr:nvSpPr>
        <xdr:cNvPr id="4" name="TextBox 3">
          <a:extLst>
            <a:ext uri="{FF2B5EF4-FFF2-40B4-BE49-F238E27FC236}">
              <a16:creationId xmlns:a16="http://schemas.microsoft.com/office/drawing/2014/main" id="{3297A681-72D8-42AA-9BEA-6C70F02417EA}"/>
            </a:ext>
          </a:extLst>
        </xdr:cNvPr>
        <xdr:cNvSpPr txBox="1"/>
      </xdr:nvSpPr>
      <xdr:spPr>
        <a:xfrm>
          <a:off x="3503630" y="1174616"/>
          <a:ext cx="2678782" cy="828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80" b="1">
              <a:solidFill>
                <a:schemeClr val="bg1"/>
              </a:solidFill>
            </a:rPr>
            <a:t>TOTAL</a:t>
          </a:r>
          <a:r>
            <a:rPr lang="en-IN" sz="1580" b="1" baseline="0">
              <a:solidFill>
                <a:schemeClr val="bg1"/>
              </a:solidFill>
            </a:rPr>
            <a:t> SALES</a:t>
          </a:r>
          <a:endParaRPr lang="en-IN" sz="1580" b="1">
            <a:solidFill>
              <a:schemeClr val="bg1"/>
            </a:solidFill>
          </a:endParaRPr>
        </a:p>
      </xdr:txBody>
    </xdr:sp>
    <xdr:clientData/>
  </xdr:twoCellAnchor>
  <xdr:twoCellAnchor>
    <xdr:from>
      <xdr:col>10</xdr:col>
      <xdr:colOff>241426</xdr:colOff>
      <xdr:row>6</xdr:row>
      <xdr:rowOff>128257</xdr:rowOff>
    </xdr:from>
    <xdr:to>
      <xdr:col>16</xdr:col>
      <xdr:colOff>62846</xdr:colOff>
      <xdr:row>11</xdr:row>
      <xdr:rowOff>117835</xdr:rowOff>
    </xdr:to>
    <xdr:sp macro="" textlink="">
      <xdr:nvSpPr>
        <xdr:cNvPr id="15" name="TextBox 14">
          <a:extLst>
            <a:ext uri="{FF2B5EF4-FFF2-40B4-BE49-F238E27FC236}">
              <a16:creationId xmlns:a16="http://schemas.microsoft.com/office/drawing/2014/main" id="{DAEB6F63-12C5-4E63-A553-DE87A2F16EC2}"/>
            </a:ext>
          </a:extLst>
        </xdr:cNvPr>
        <xdr:cNvSpPr txBox="1"/>
      </xdr:nvSpPr>
      <xdr:spPr>
        <a:xfrm>
          <a:off x="6368849" y="1212339"/>
          <a:ext cx="3497873" cy="89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50" b="1">
              <a:solidFill>
                <a:schemeClr val="bg1"/>
              </a:solidFill>
            </a:rPr>
            <a:t>TOTAL QUANTITY</a:t>
          </a:r>
        </a:p>
        <a:p>
          <a:endParaRPr lang="en-IN" sz="1100"/>
        </a:p>
      </xdr:txBody>
    </xdr:sp>
    <xdr:clientData/>
  </xdr:twoCellAnchor>
  <xdr:twoCellAnchor>
    <xdr:from>
      <xdr:col>14</xdr:col>
      <xdr:colOff>479196</xdr:colOff>
      <xdr:row>6</xdr:row>
      <xdr:rowOff>117837</xdr:rowOff>
    </xdr:from>
    <xdr:to>
      <xdr:col>22</xdr:col>
      <xdr:colOff>243526</xdr:colOff>
      <xdr:row>10</xdr:row>
      <xdr:rowOff>149259</xdr:rowOff>
    </xdr:to>
    <xdr:sp macro="" textlink="">
      <xdr:nvSpPr>
        <xdr:cNvPr id="16" name="TextBox 15">
          <a:extLst>
            <a:ext uri="{FF2B5EF4-FFF2-40B4-BE49-F238E27FC236}">
              <a16:creationId xmlns:a16="http://schemas.microsoft.com/office/drawing/2014/main" id="{9446EA98-9272-492A-BD84-672EE89B29FD}"/>
            </a:ext>
          </a:extLst>
        </xdr:cNvPr>
        <xdr:cNvSpPr txBox="1"/>
      </xdr:nvSpPr>
      <xdr:spPr>
        <a:xfrm>
          <a:off x="9057588" y="1201919"/>
          <a:ext cx="4666268" cy="75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PROFIT</a:t>
          </a:r>
        </a:p>
      </xdr:txBody>
    </xdr:sp>
    <xdr:clientData/>
  </xdr:twoCellAnchor>
  <xdr:twoCellAnchor>
    <xdr:from>
      <xdr:col>6</xdr:col>
      <xdr:colOff>205956</xdr:colOff>
      <xdr:row>9</xdr:row>
      <xdr:rowOff>106249</xdr:rowOff>
    </xdr:from>
    <xdr:to>
      <xdr:col>9</xdr:col>
      <xdr:colOff>213502</xdr:colOff>
      <xdr:row>11</xdr:row>
      <xdr:rowOff>45892</xdr:rowOff>
    </xdr:to>
    <xdr:sp macro="" textlink="Dataset!U2">
      <xdr:nvSpPr>
        <xdr:cNvPr id="17" name="TextBox 16">
          <a:extLst>
            <a:ext uri="{FF2B5EF4-FFF2-40B4-BE49-F238E27FC236}">
              <a16:creationId xmlns:a16="http://schemas.microsoft.com/office/drawing/2014/main" id="{3C1A306E-C238-4D59-AB00-D9BE6B779808}"/>
            </a:ext>
          </a:extLst>
        </xdr:cNvPr>
        <xdr:cNvSpPr txBox="1"/>
      </xdr:nvSpPr>
      <xdr:spPr>
        <a:xfrm>
          <a:off x="3882410" y="1732373"/>
          <a:ext cx="1845772" cy="30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0A992E-B8B7-493A-A3EB-DAB62BF35444}" type="TxLink">
            <a:rPr lang="en-US" sz="1600" b="1" i="0" u="none" strike="noStrike">
              <a:solidFill>
                <a:schemeClr val="bg1"/>
              </a:solidFill>
              <a:latin typeface="Calibri"/>
              <a:ea typeface="Calibri"/>
              <a:cs typeface="Calibri"/>
            </a:rPr>
            <a:pPr algn="ctr"/>
            <a:t>195217.76</a:t>
          </a:fld>
          <a:endParaRPr lang="en-IN" sz="1600" b="1">
            <a:solidFill>
              <a:schemeClr val="bg1"/>
            </a:solidFill>
          </a:endParaRPr>
        </a:p>
      </xdr:txBody>
    </xdr:sp>
    <xdr:clientData/>
  </xdr:twoCellAnchor>
  <xdr:twoCellAnchor>
    <xdr:from>
      <xdr:col>11</xdr:col>
      <xdr:colOff>555031</xdr:colOff>
      <xdr:row>9</xdr:row>
      <xdr:rowOff>97459</xdr:rowOff>
    </xdr:from>
    <xdr:to>
      <xdr:col>14</xdr:col>
      <xdr:colOff>274248</xdr:colOff>
      <xdr:row>11</xdr:row>
      <xdr:rowOff>59736</xdr:rowOff>
    </xdr:to>
    <xdr:sp macro="" textlink="Dataset!V2">
      <xdr:nvSpPr>
        <xdr:cNvPr id="18" name="TextBox 17">
          <a:extLst>
            <a:ext uri="{FF2B5EF4-FFF2-40B4-BE49-F238E27FC236}">
              <a16:creationId xmlns:a16="http://schemas.microsoft.com/office/drawing/2014/main" id="{66DAC9A2-E37A-48B3-9C65-5180591A32A9}"/>
            </a:ext>
          </a:extLst>
        </xdr:cNvPr>
        <xdr:cNvSpPr txBox="1"/>
      </xdr:nvSpPr>
      <xdr:spPr>
        <a:xfrm>
          <a:off x="7295196" y="1723583"/>
          <a:ext cx="1557444" cy="323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D83286-5BDD-47DA-B1CD-E47BB9BB204B}" type="TxLink">
            <a:rPr lang="en-US" sz="1800" b="1" i="0" u="none" strike="noStrike">
              <a:solidFill>
                <a:schemeClr val="bg1"/>
              </a:solidFill>
              <a:latin typeface="Calibri"/>
              <a:ea typeface="Calibri"/>
              <a:cs typeface="Calibri"/>
            </a:rPr>
            <a:pPr algn="ctr"/>
            <a:t>1999</a:t>
          </a:fld>
          <a:endParaRPr lang="en-IN" sz="1800" b="1">
            <a:solidFill>
              <a:schemeClr val="bg1"/>
            </a:solidFill>
          </a:endParaRPr>
        </a:p>
      </xdr:txBody>
    </xdr:sp>
    <xdr:clientData/>
  </xdr:twoCellAnchor>
  <xdr:twoCellAnchor>
    <xdr:from>
      <xdr:col>17</xdr:col>
      <xdr:colOff>423116</xdr:colOff>
      <xdr:row>9</xdr:row>
      <xdr:rowOff>90534</xdr:rowOff>
    </xdr:from>
    <xdr:to>
      <xdr:col>20</xdr:col>
      <xdr:colOff>226960</xdr:colOff>
      <xdr:row>11</xdr:row>
      <xdr:rowOff>60355</xdr:rowOff>
    </xdr:to>
    <xdr:sp macro="" textlink="Dataset!W2">
      <xdr:nvSpPr>
        <xdr:cNvPr id="19" name="TextBox 18">
          <a:extLst>
            <a:ext uri="{FF2B5EF4-FFF2-40B4-BE49-F238E27FC236}">
              <a16:creationId xmlns:a16="http://schemas.microsoft.com/office/drawing/2014/main" id="{68CFB7CD-02C9-475D-BC8D-920BEAEBD491}"/>
            </a:ext>
          </a:extLst>
        </xdr:cNvPr>
        <xdr:cNvSpPr txBox="1"/>
      </xdr:nvSpPr>
      <xdr:spPr>
        <a:xfrm>
          <a:off x="10839735" y="1716658"/>
          <a:ext cx="1642070" cy="33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51E7AC-DC4E-4C11-B46F-399A1F49A1E6}" type="TxLink">
            <a:rPr lang="en-US" sz="1700" b="1" i="0" u="none" strike="noStrike">
              <a:solidFill>
                <a:schemeClr val="bg1"/>
              </a:solidFill>
              <a:latin typeface="Calibri"/>
              <a:ea typeface="Calibri"/>
              <a:cs typeface="Calibri"/>
            </a:rPr>
            <a:pPr/>
            <a:t>68287.01</a:t>
          </a:fld>
          <a:endParaRPr lang="en-IN" sz="1700" b="1">
            <a:solidFill>
              <a:schemeClr val="bg1"/>
            </a:solidFill>
          </a:endParaRPr>
        </a:p>
      </xdr:txBody>
    </xdr:sp>
    <xdr:clientData/>
  </xdr:twoCellAnchor>
  <xdr:twoCellAnchor editAs="oneCell">
    <xdr:from>
      <xdr:col>2</xdr:col>
      <xdr:colOff>172817</xdr:colOff>
      <xdr:row>5</xdr:row>
      <xdr:rowOff>24878</xdr:rowOff>
    </xdr:from>
    <xdr:to>
      <xdr:col>4</xdr:col>
      <xdr:colOff>326608</xdr:colOff>
      <xdr:row>13</xdr:row>
      <xdr:rowOff>109981</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EBD64A34-E1F6-40E8-BC6E-31DAEBE6EC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98302" y="928280"/>
              <a:ext cx="1379275" cy="1530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6.439984837962" createdVersion="6" refreshedVersion="6" minRefreshableVersion="3" recordCount="200" xr:uid="{4A04DD8F-639A-4BEB-9661-AE889D70220C}">
  <cacheSource type="worksheet">
    <worksheetSource ref="K1:L14" sheet="Dataset"/>
  </cacheSource>
  <cacheFields count="15">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purchase" numFmtId="0">
      <sharedItems containsSemiMixedTypes="0" containsString="0" containsNumber="1" minValue="2699.75" maxValue="11611.060000000001"/>
    </cacheField>
    <cacheField name="Month" numFmtId="0">
      <sharedItems count="13">
        <s v="Apr-2024"/>
        <s v="May-2024"/>
        <s v="Jun-2024"/>
        <s v="Jul-2024"/>
        <s v="Aug-2024"/>
        <s v="Sep-2024"/>
        <s v="Oct-2024"/>
        <s v="Nov-2024"/>
        <s v="Dec-2024"/>
        <s v="Jan-2025"/>
        <s v="Feb-2025"/>
        <s v="Mar-2025"/>
        <s v="Apr-2025"/>
      </sharedItems>
    </cacheField>
    <cacheField name="Monthly total sales" numFmtId="0">
      <sharedItems containsSemiMixedTypes="0" containsString="0" containsNumber="1" minValue="258.51" maxValue="1923.66"/>
    </cacheField>
    <cacheField name="Groth Formula" numFmtId="0">
      <sharedItems containsSemiMixedTypes="0" containsString="0" containsNumber="1" minValue="-1301.44" maxValue="1201.19"/>
    </cacheField>
    <cacheField name="Timestamp" numFmtId="0">
      <sharedItems containsNonDate="0" containsDate="1" containsString="0" containsBlank="1" minDate="2026-02-13T10:24:28" maxDate="2026-02-13T10:24:28"/>
    </cacheField>
    <cacheField name="High-value Customers" numFmtId="0">
      <sharedItems containsBlank="1"/>
    </cacheField>
  </cacheFields>
  <extLst>
    <ext xmlns:x14="http://schemas.microsoft.com/office/spreadsheetml/2009/9/main" uri="{725AE2AE-9491-48be-B2B4-4EB974FC3084}">
      <x14:pivotCacheDefinition pivotCacheId="155920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n v="4640.1099999999997"/>
    <x v="0"/>
    <n v="1036.0899999999999"/>
    <n v="65.190000000000055"/>
    <d v="2026-02-13T10:24:28"/>
    <s v="James Wilson"/>
  </r>
  <r>
    <s v="CUST012"/>
    <s v="Robert Anderson"/>
    <x v="0"/>
    <x v="1"/>
    <n v="1101.28"/>
    <n v="3"/>
    <n v="0.2"/>
    <d v="2024-04-11T00:00:00"/>
    <n v="440.51"/>
    <n v="8339"/>
    <x v="0"/>
    <n v="1101.28"/>
    <n v="-387.93999999999994"/>
    <m/>
    <m/>
  </r>
  <r>
    <s v="CUST017"/>
    <s v="James Taylor"/>
    <x v="1"/>
    <x v="0"/>
    <n v="713.34"/>
    <n v="17"/>
    <n v="0"/>
    <d v="2024-04-14T00:00:00"/>
    <n v="285.33999999999997"/>
    <n v="3419.2"/>
    <x v="0"/>
    <n v="713.34"/>
    <n v="47.589999999999918"/>
    <m/>
    <m/>
  </r>
  <r>
    <s v="CUST005"/>
    <s v="Robert Anderson"/>
    <x v="2"/>
    <x v="2"/>
    <n v="760.93"/>
    <n v="4"/>
    <n v="0.15"/>
    <d v="2024-04-14T00:00:00"/>
    <n v="161.69999999999999"/>
    <n v="6666.130000000001"/>
    <x v="0"/>
    <n v="760.93"/>
    <n v="86.07000000000005"/>
    <m/>
    <m/>
  </r>
  <r>
    <s v="CUST030"/>
    <s v="James Wilson"/>
    <x v="3"/>
    <x v="0"/>
    <n v="847"/>
    <n v="12"/>
    <n v="0.2"/>
    <d v="2024-04-15T00:00:00"/>
    <n v="271.04000000000002"/>
    <n v="7928.71"/>
    <x v="0"/>
    <n v="847"/>
    <n v="118.63999999999999"/>
    <m/>
    <m/>
  </r>
  <r>
    <s v="CUST007"/>
    <s v="Michael Anderson"/>
    <x v="3"/>
    <x v="3"/>
    <n v="965.64"/>
    <n v="8"/>
    <n v="0.1"/>
    <d v="2024-04-16T00:00:00"/>
    <n v="304.18"/>
    <n v="9941.8799999999992"/>
    <x v="0"/>
    <n v="965.64"/>
    <n v="351.89"/>
    <m/>
    <m/>
  </r>
  <r>
    <s v="CUST001"/>
    <s v="Linda Wilson"/>
    <x v="0"/>
    <x v="2"/>
    <n v="1317.53"/>
    <n v="12"/>
    <n v="0.05"/>
    <d v="2024-04-16T00:00:00"/>
    <n v="312.91000000000003"/>
    <n v="6549.55"/>
    <x v="0"/>
    <n v="1317.53"/>
    <n v="-243.05999999999995"/>
    <m/>
    <m/>
  </r>
  <r>
    <s v="CUST026"/>
    <s v="Mary Davis"/>
    <x v="1"/>
    <x v="3"/>
    <n v="1074.47"/>
    <n v="6"/>
    <n v="0.2"/>
    <d v="2024-04-19T00:00:00"/>
    <n v="300.85000000000002"/>
    <n v="9371.81"/>
    <x v="0"/>
    <n v="1074.47"/>
    <n v="-572.93000000000006"/>
    <m/>
    <m/>
  </r>
  <r>
    <s v="CUST009"/>
    <s v="Linda Jackson"/>
    <x v="4"/>
    <x v="0"/>
    <n v="501.54"/>
    <n v="11"/>
    <n v="0.05"/>
    <d v="2024-04-19T00:00:00"/>
    <n v="190.59"/>
    <n v="6505.2"/>
    <x v="0"/>
    <n v="501.54"/>
    <n v="235.76999999999992"/>
    <m/>
    <m/>
  </r>
  <r>
    <s v="CUST010"/>
    <s v="David Thomas"/>
    <x v="4"/>
    <x v="1"/>
    <n v="737.31"/>
    <n v="2"/>
    <n v="0.05"/>
    <d v="2024-04-19T00:00:00"/>
    <n v="350.22"/>
    <n v="4259.22"/>
    <x v="0"/>
    <n v="737.31"/>
    <n v="835.51"/>
    <m/>
    <m/>
  </r>
  <r>
    <s v="CUST014"/>
    <s v="Emma Davis"/>
    <x v="0"/>
    <x v="4"/>
    <n v="1572.82"/>
    <n v="6"/>
    <n v="0.05"/>
    <d v="2024-04-20T00:00:00"/>
    <n v="672.38"/>
    <n v="6729.8899999999994"/>
    <x v="0"/>
    <n v="1572.82"/>
    <n v="-229.68999999999983"/>
    <m/>
    <m/>
  </r>
  <r>
    <s v="CUST014"/>
    <s v="David Thomas"/>
    <x v="4"/>
    <x v="0"/>
    <n v="1343.13"/>
    <n v="14"/>
    <n v="0.15"/>
    <d v="2024-04-22T00:00:00"/>
    <n v="456.66"/>
    <n v="6729.8899999999994"/>
    <x v="0"/>
    <n v="1343.13"/>
    <n v="-151.55000000000018"/>
    <m/>
    <m/>
  </r>
  <r>
    <s v="CUST007"/>
    <s v="Michael Anderson"/>
    <x v="4"/>
    <x v="0"/>
    <n v="1191.58"/>
    <n v="14"/>
    <n v="0.05"/>
    <d v="2024-04-24T00:00:00"/>
    <n v="452.8"/>
    <n v="9941.8799999999992"/>
    <x v="0"/>
    <n v="1191.58"/>
    <n v="-369.29999999999995"/>
    <m/>
    <m/>
  </r>
  <r>
    <s v="CUST023"/>
    <s v="Robert Anderson"/>
    <x v="0"/>
    <x v="3"/>
    <n v="822.28"/>
    <n v="7"/>
    <n v="0.05"/>
    <d v="2024-04-24T00:00:00"/>
    <n v="273.41000000000003"/>
    <n v="5913.68"/>
    <x v="0"/>
    <n v="822.28"/>
    <n v="-300.61"/>
    <m/>
    <m/>
  </r>
  <r>
    <s v="CUST029"/>
    <s v="David Smith"/>
    <x v="3"/>
    <x v="3"/>
    <n v="521.66999999999996"/>
    <n v="15"/>
    <n v="0.15"/>
    <d v="2024-04-27T00:00:00"/>
    <n v="155.19999999999999"/>
    <n v="5779.05"/>
    <x v="0"/>
    <n v="521.66999999999996"/>
    <n v="981.2600000000001"/>
    <m/>
    <m/>
  </r>
  <r>
    <s v="CUST005"/>
    <s v="Sarah Anderson"/>
    <x v="2"/>
    <x v="2"/>
    <n v="1502.93"/>
    <n v="14"/>
    <n v="0.2"/>
    <d v="2024-04-28T00:00:00"/>
    <n v="300.58999999999997"/>
    <n v="6666.130000000001"/>
    <x v="0"/>
    <n v="1502.93"/>
    <n v="-625.35"/>
    <m/>
    <m/>
  </r>
  <r>
    <s v="CUST008"/>
    <s v="Robert Anderson"/>
    <x v="2"/>
    <x v="0"/>
    <n v="877.58"/>
    <n v="10"/>
    <n v="0.15"/>
    <d v="2024-04-29T00:00:00"/>
    <n v="298.38"/>
    <n v="9760.7999999999993"/>
    <x v="0"/>
    <n v="877.58"/>
    <n v="-240.88"/>
    <m/>
    <m/>
  </r>
  <r>
    <s v="CUST001"/>
    <s v="Lisa Thomas"/>
    <x v="0"/>
    <x v="0"/>
    <n v="636.70000000000005"/>
    <n v="4"/>
    <n v="0.2"/>
    <d v="2024-04-29T00:00:00"/>
    <n v="203.74"/>
    <n v="6549.55"/>
    <x v="0"/>
    <n v="636.70000000000005"/>
    <n v="869.44"/>
    <m/>
    <m/>
  </r>
  <r>
    <s v="CUST006"/>
    <s v="Mary Jackson"/>
    <x v="0"/>
    <x v="0"/>
    <n v="1506.14"/>
    <n v="13"/>
    <n v="0.2"/>
    <d v="2024-04-30T00:00:00"/>
    <n v="481.96"/>
    <n v="2699.75"/>
    <x v="0"/>
    <n v="1506.14"/>
    <n v="-861.12000000000012"/>
    <m/>
    <m/>
  </r>
  <r>
    <s v="CUST026"/>
    <s v="Mary Davis"/>
    <x v="4"/>
    <x v="2"/>
    <n v="645.02"/>
    <n v="4"/>
    <n v="0"/>
    <d v="2024-05-02T00:00:00"/>
    <n v="161.26"/>
    <n v="9371.81"/>
    <x v="1"/>
    <n v="645.02"/>
    <n v="308.27999999999997"/>
    <m/>
    <m/>
  </r>
  <r>
    <s v="CUST007"/>
    <s v="Lisa Davis"/>
    <x v="2"/>
    <x v="1"/>
    <n v="953.3"/>
    <n v="11"/>
    <n v="0"/>
    <d v="2024-05-03T00:00:00"/>
    <n v="476.65"/>
    <n v="9941.8799999999992"/>
    <x v="1"/>
    <n v="953.3"/>
    <n v="-564.74"/>
    <m/>
    <m/>
  </r>
  <r>
    <s v="CUST022"/>
    <s v="Robert Anderson"/>
    <x v="3"/>
    <x v="2"/>
    <n v="388.56"/>
    <n v="14"/>
    <n v="0.15"/>
    <d v="2024-05-04T00:00:00"/>
    <n v="82.57"/>
    <n v="4418.2800000000007"/>
    <x v="1"/>
    <n v="388.56"/>
    <n v="354.60999999999996"/>
    <m/>
    <m/>
  </r>
  <r>
    <s v="CUST019"/>
    <s v="Mary Davis"/>
    <x v="0"/>
    <x v="0"/>
    <n v="743.17"/>
    <n v="9"/>
    <n v="0"/>
    <d v="2024-05-04T00:00:00"/>
    <n v="297.27"/>
    <n v="4640.1099999999997"/>
    <x v="1"/>
    <n v="743.17"/>
    <n v="-36.799999999999955"/>
    <m/>
    <m/>
  </r>
  <r>
    <s v="CUST023"/>
    <s v="Mary Davis"/>
    <x v="4"/>
    <x v="2"/>
    <n v="706.37"/>
    <n v="6"/>
    <n v="0"/>
    <d v="2024-05-04T00:00:00"/>
    <n v="176.59"/>
    <n v="5913.68"/>
    <x v="1"/>
    <n v="706.37"/>
    <n v="218.93999999999994"/>
    <m/>
    <m/>
  </r>
  <r>
    <s v="CUST012"/>
    <s v="Mary Davis"/>
    <x v="4"/>
    <x v="4"/>
    <n v="925.31"/>
    <n v="8"/>
    <n v="0.1"/>
    <d v="2024-05-06T00:00:00"/>
    <n v="374.75"/>
    <n v="8339"/>
    <x v="1"/>
    <n v="925.31"/>
    <n v="247.80999999999995"/>
    <m/>
    <m/>
  </r>
  <r>
    <s v="CUST010"/>
    <s v="Linda Brown"/>
    <x v="2"/>
    <x v="2"/>
    <n v="1173.1199999999999"/>
    <n v="18"/>
    <n v="0"/>
    <d v="2024-05-06T00:00:00"/>
    <n v="293.27999999999997"/>
    <n v="4259.22"/>
    <x v="1"/>
    <n v="1173.1199999999999"/>
    <n v="-497.57999999999993"/>
    <m/>
    <m/>
  </r>
  <r>
    <s v="CUST030"/>
    <s v="John Brown"/>
    <x v="3"/>
    <x v="3"/>
    <n v="675.54"/>
    <n v="17"/>
    <n v="0"/>
    <d v="2024-05-08T00:00:00"/>
    <n v="236.44"/>
    <n v="7928.71"/>
    <x v="1"/>
    <n v="675.54"/>
    <n v="263.55000000000007"/>
    <m/>
    <m/>
  </r>
  <r>
    <s v="CUST007"/>
    <s v="Robert Anderson"/>
    <x v="4"/>
    <x v="0"/>
    <n v="939.09"/>
    <n v="2"/>
    <n v="0.05"/>
    <d v="2024-05-10T00:00:00"/>
    <n v="356.85"/>
    <n v="9941.8799999999992"/>
    <x v="1"/>
    <n v="939.09"/>
    <n v="44.25"/>
    <m/>
    <m/>
  </r>
  <r>
    <s v="CUST028"/>
    <s v="Linda Taylor"/>
    <x v="1"/>
    <x v="4"/>
    <n v="983.34"/>
    <n v="19"/>
    <n v="0.1"/>
    <d v="2024-05-14T00:00:00"/>
    <n v="398.25"/>
    <n v="10293.870000000001"/>
    <x v="1"/>
    <n v="983.34"/>
    <n v="-182.13"/>
    <m/>
    <m/>
  </r>
  <r>
    <s v="CUST028"/>
    <s v="James Wilson"/>
    <x v="2"/>
    <x v="2"/>
    <n v="801.21"/>
    <n v="3"/>
    <n v="0.2"/>
    <d v="2024-05-14T00:00:00"/>
    <n v="160.24"/>
    <n v="10293.870000000001"/>
    <x v="1"/>
    <n v="801.21"/>
    <n v="649.5"/>
    <m/>
    <m/>
  </r>
  <r>
    <s v="CUST025"/>
    <s v="David Brown"/>
    <x v="3"/>
    <x v="2"/>
    <n v="1450.71"/>
    <n v="5"/>
    <n v="0.1"/>
    <d v="2024-05-15T00:00:00"/>
    <n v="326.41000000000003"/>
    <n v="6716.52"/>
    <x v="1"/>
    <n v="1450.71"/>
    <n v="-427.5"/>
    <m/>
    <m/>
  </r>
  <r>
    <s v="CUST022"/>
    <s v="David Davis"/>
    <x v="4"/>
    <x v="0"/>
    <n v="1023.21"/>
    <n v="18"/>
    <n v="0.05"/>
    <d v="2024-05-16T00:00:00"/>
    <n v="388.82"/>
    <n v="4418.2800000000007"/>
    <x v="1"/>
    <n v="1023.21"/>
    <n v="-169.49"/>
    <m/>
    <m/>
  </r>
  <r>
    <s v="CUST001"/>
    <s v="Mary Jackson"/>
    <x v="0"/>
    <x v="3"/>
    <n v="853.72"/>
    <n v="5"/>
    <n v="0.15"/>
    <d v="2024-05-16T00:00:00"/>
    <n v="253.98"/>
    <n v="6549.55"/>
    <x v="1"/>
    <n v="853.72"/>
    <n v="114.16999999999996"/>
    <m/>
    <m/>
  </r>
  <r>
    <s v="CUST021"/>
    <s v="Sarah Anderson"/>
    <x v="2"/>
    <x v="2"/>
    <n v="967.89"/>
    <n v="10"/>
    <n v="0.1"/>
    <d v="2024-05-17T00:00:00"/>
    <n v="217.78"/>
    <n v="8740.18"/>
    <x v="1"/>
    <n v="967.89"/>
    <n v="233.0100000000001"/>
    <m/>
    <m/>
  </r>
  <r>
    <s v="CUST015"/>
    <s v="Linda Taylor"/>
    <x v="3"/>
    <x v="4"/>
    <n v="1200.9000000000001"/>
    <n v="14"/>
    <n v="0.05"/>
    <d v="2024-05-17T00:00:00"/>
    <n v="513.38"/>
    <n v="11611.060000000001"/>
    <x v="1"/>
    <n v="1200.9000000000001"/>
    <n v="-728.5200000000001"/>
    <m/>
    <m/>
  </r>
  <r>
    <s v="CUST012"/>
    <s v="Michael Anderson"/>
    <x v="0"/>
    <x v="0"/>
    <n v="472.38"/>
    <n v="12"/>
    <n v="0.2"/>
    <d v="2024-05-17T00:00:00"/>
    <n v="151.16"/>
    <n v="8339"/>
    <x v="1"/>
    <n v="472.38"/>
    <n v="368.53999999999996"/>
    <m/>
    <m/>
  </r>
  <r>
    <s v="CUST019"/>
    <s v="David Brown"/>
    <x v="1"/>
    <x v="4"/>
    <n v="840.92"/>
    <n v="9"/>
    <n v="0.05"/>
    <d v="2024-05-17T00:00:00"/>
    <n v="359.49"/>
    <n v="4640.1099999999997"/>
    <x v="1"/>
    <n v="840.92"/>
    <n v="569.14"/>
    <m/>
    <m/>
  </r>
  <r>
    <s v="CUST028"/>
    <s v="Lisa Davis"/>
    <x v="4"/>
    <x v="3"/>
    <n v="1410.06"/>
    <n v="11"/>
    <n v="0.05"/>
    <d v="2024-05-22T00:00:00"/>
    <n v="468.84"/>
    <n v="10293.870000000001"/>
    <x v="1"/>
    <n v="1410.06"/>
    <n v="-636.96999999999991"/>
    <m/>
    <m/>
  </r>
  <r>
    <s v="CUST008"/>
    <s v="Mary Wilson"/>
    <x v="4"/>
    <x v="3"/>
    <n v="773.09"/>
    <n v="13"/>
    <n v="0.15"/>
    <d v="2024-05-22T00:00:00"/>
    <n v="229.99"/>
    <n v="9760.7999999999993"/>
    <x v="1"/>
    <n v="773.09"/>
    <n v="-192.66000000000008"/>
    <m/>
    <m/>
  </r>
  <r>
    <s v="CUST016"/>
    <s v="Emma Wilson"/>
    <x v="1"/>
    <x v="0"/>
    <n v="580.42999999999995"/>
    <n v="19"/>
    <n v="0.15"/>
    <d v="2024-05-23T00:00:00"/>
    <n v="197.35"/>
    <n v="3369.17"/>
    <x v="1"/>
    <n v="580.42999999999995"/>
    <n v="570.78000000000009"/>
    <m/>
    <m/>
  </r>
  <r>
    <s v="CUST005"/>
    <s v="David Smith"/>
    <x v="2"/>
    <x v="0"/>
    <n v="1151.21"/>
    <n v="15"/>
    <n v="0.1"/>
    <d v="2024-06-02T00:00:00"/>
    <n v="414.44"/>
    <n v="6666.130000000001"/>
    <x v="2"/>
    <n v="1151.21"/>
    <n v="-125.23000000000002"/>
    <m/>
    <m/>
  </r>
  <r>
    <s v="CUST028"/>
    <s v="James Wilson"/>
    <x v="4"/>
    <x v="4"/>
    <n v="1025.98"/>
    <n v="5"/>
    <n v="0.2"/>
    <d v="2024-06-04T00:00:00"/>
    <n v="369.35"/>
    <n v="10293.870000000001"/>
    <x v="2"/>
    <n v="1025.98"/>
    <n v="-469.56000000000006"/>
    <m/>
    <m/>
  </r>
  <r>
    <s v="CUST023"/>
    <s v="David Davis"/>
    <x v="1"/>
    <x v="4"/>
    <n v="556.41999999999996"/>
    <n v="11"/>
    <n v="0.15"/>
    <d v="2024-06-04T00:00:00"/>
    <n v="212.83"/>
    <n v="5913.68"/>
    <x v="2"/>
    <n v="556.41999999999996"/>
    <n v="284.43000000000006"/>
    <m/>
    <m/>
  </r>
  <r>
    <s v="CUST021"/>
    <s v="James Wilson"/>
    <x v="4"/>
    <x v="0"/>
    <n v="840.85"/>
    <n v="19"/>
    <n v="0.1"/>
    <d v="2024-06-05T00:00:00"/>
    <n v="302.70999999999998"/>
    <n v="8740.18"/>
    <x v="2"/>
    <n v="840.85"/>
    <n v="386.4"/>
    <m/>
    <m/>
  </r>
  <r>
    <s v="CUST026"/>
    <s v="Emma Wilson"/>
    <x v="3"/>
    <x v="3"/>
    <n v="1227.25"/>
    <n v="12"/>
    <n v="0.15"/>
    <d v="2024-06-05T00:00:00"/>
    <n v="365.11"/>
    <n v="9371.81"/>
    <x v="2"/>
    <n v="1227.25"/>
    <n v="-370.54999999999995"/>
    <m/>
    <m/>
  </r>
  <r>
    <s v="CUST017"/>
    <s v="Linda Davis"/>
    <x v="4"/>
    <x v="2"/>
    <n v="856.7"/>
    <n v="2"/>
    <n v="0"/>
    <d v="2024-06-06T00:00:00"/>
    <n v="214.18"/>
    <n v="3419.2"/>
    <x v="2"/>
    <n v="856.7"/>
    <n v="368.72"/>
    <m/>
    <m/>
  </r>
  <r>
    <s v="CUST025"/>
    <s v="David Davis"/>
    <x v="4"/>
    <x v="4"/>
    <n v="1225.42"/>
    <n v="8"/>
    <n v="0.15"/>
    <d v="2024-06-06T00:00:00"/>
    <n v="468.72"/>
    <n v="6716.52"/>
    <x v="2"/>
    <n v="1225.42"/>
    <n v="-223.85000000000002"/>
    <m/>
    <m/>
  </r>
  <r>
    <s v="CUST011"/>
    <s v="Mary Davis"/>
    <x v="3"/>
    <x v="4"/>
    <n v="1001.57"/>
    <n v="12"/>
    <n v="0"/>
    <d v="2024-06-07T00:00:00"/>
    <n v="450.71"/>
    <n v="3762.2900000000004"/>
    <x v="2"/>
    <n v="1001.57"/>
    <n v="185.27999999999986"/>
    <m/>
    <m/>
  </r>
  <r>
    <s v="CUST021"/>
    <s v="Michael Anderson"/>
    <x v="1"/>
    <x v="3"/>
    <n v="1186.8499999999999"/>
    <n v="19"/>
    <n v="0.2"/>
    <d v="2024-06-08T00:00:00"/>
    <n v="332.32"/>
    <n v="8740.18"/>
    <x v="2"/>
    <n v="1186.8499999999999"/>
    <n v="-411.39999999999986"/>
    <m/>
    <m/>
  </r>
  <r>
    <s v="CUST008"/>
    <s v="John Brown"/>
    <x v="2"/>
    <x v="2"/>
    <n v="775.45"/>
    <n v="6"/>
    <n v="0.1"/>
    <d v="2024-06-14T00:00:00"/>
    <n v="174.48"/>
    <n v="9760.7999999999993"/>
    <x v="2"/>
    <n v="775.45"/>
    <n v="246.01999999999998"/>
    <m/>
    <m/>
  </r>
  <r>
    <s v="CUST007"/>
    <s v="Linda Jackson"/>
    <x v="2"/>
    <x v="2"/>
    <n v="1021.47"/>
    <n v="6"/>
    <n v="0.05"/>
    <d v="2024-06-18T00:00:00"/>
    <n v="242.6"/>
    <n v="9941.8799999999992"/>
    <x v="2"/>
    <n v="1021.47"/>
    <n v="205.14999999999986"/>
    <m/>
    <m/>
  </r>
  <r>
    <s v="CUST015"/>
    <s v="James Wilson"/>
    <x v="2"/>
    <x v="1"/>
    <n v="1226.6199999999999"/>
    <n v="7"/>
    <n v="0.1"/>
    <d v="2024-06-20T00:00:00"/>
    <n v="551.98"/>
    <n v="11611.060000000001"/>
    <x v="2"/>
    <n v="1226.6199999999999"/>
    <n v="-139.68999999999983"/>
    <m/>
    <m/>
  </r>
  <r>
    <s v="CUST030"/>
    <s v="Sarah Davis"/>
    <x v="2"/>
    <x v="3"/>
    <n v="1086.93"/>
    <n v="2"/>
    <n v="0"/>
    <d v="2024-06-21T00:00:00"/>
    <n v="380.43"/>
    <n v="7928.71"/>
    <x v="2"/>
    <n v="1086.93"/>
    <n v="-144.03000000000009"/>
    <m/>
    <m/>
  </r>
  <r>
    <s v="CUST002"/>
    <s v="Lisa Davis"/>
    <x v="0"/>
    <x v="0"/>
    <n v="942.9"/>
    <n v="18"/>
    <n v="0.1"/>
    <d v="2024-06-23T00:00:00"/>
    <n v="339.44"/>
    <n v="6481.43"/>
    <x v="2"/>
    <n v="942.9"/>
    <n v="-124.10000000000002"/>
    <m/>
    <m/>
  </r>
  <r>
    <s v="CUST009"/>
    <s v="Emma Davis"/>
    <x v="3"/>
    <x v="2"/>
    <n v="818.8"/>
    <n v="15"/>
    <n v="0.15"/>
    <d v="2024-06-25T00:00:00"/>
    <n v="173.99"/>
    <n v="6505.2"/>
    <x v="2"/>
    <n v="818.8"/>
    <n v="100.24000000000001"/>
    <m/>
    <m/>
  </r>
  <r>
    <s v="CUST005"/>
    <s v="Robert Anderson"/>
    <x v="2"/>
    <x v="3"/>
    <n v="919.04"/>
    <n v="10"/>
    <n v="0.2"/>
    <d v="2024-06-25T00:00:00"/>
    <n v="257.33"/>
    <n v="6666.130000000001"/>
    <x v="2"/>
    <n v="919.04"/>
    <n v="54.220000000000027"/>
    <m/>
    <m/>
  </r>
  <r>
    <s v="CUST030"/>
    <s v="Emma Taylor"/>
    <x v="4"/>
    <x v="0"/>
    <n v="973.26"/>
    <n v="11"/>
    <n v="0"/>
    <d v="2024-06-27T00:00:00"/>
    <n v="389.3"/>
    <n v="7928.71"/>
    <x v="2"/>
    <n v="973.26"/>
    <n v="-231.64999999999998"/>
    <m/>
    <m/>
  </r>
  <r>
    <s v="CUST029"/>
    <s v="Sarah Davis"/>
    <x v="3"/>
    <x v="2"/>
    <n v="741.61"/>
    <n v="1"/>
    <n v="0.2"/>
    <d v="2024-06-28T00:00:00"/>
    <n v="148.32"/>
    <n v="5779.05"/>
    <x v="2"/>
    <n v="741.61"/>
    <n v="507.20999999999992"/>
    <m/>
    <m/>
  </r>
  <r>
    <s v="CUST003"/>
    <s v="Emma Davis"/>
    <x v="3"/>
    <x v="0"/>
    <n v="1248.82"/>
    <n v="2"/>
    <n v="0.1"/>
    <d v="2024-06-30T00:00:00"/>
    <n v="449.58"/>
    <n v="8490.18"/>
    <x v="2"/>
    <n v="1248.82"/>
    <n v="111.53999999999996"/>
    <m/>
    <m/>
  </r>
  <r>
    <s v="CUST012"/>
    <s v="Mary Wilson"/>
    <x v="0"/>
    <x v="1"/>
    <n v="1360.36"/>
    <n v="17"/>
    <n v="0"/>
    <d v="2024-06-30T00:00:00"/>
    <n v="680.18"/>
    <n v="8339"/>
    <x v="2"/>
    <n v="1360.36"/>
    <n v="22.940000000000055"/>
    <m/>
    <m/>
  </r>
  <r>
    <s v="CUST021"/>
    <s v="Mary Davis"/>
    <x v="1"/>
    <x v="0"/>
    <n v="1383.3"/>
    <n v="8"/>
    <n v="0.1"/>
    <d v="2024-07-05T00:00:00"/>
    <n v="497.99"/>
    <n v="8740.18"/>
    <x v="3"/>
    <n v="1383.3"/>
    <n v="-894.31"/>
    <m/>
    <m/>
  </r>
  <r>
    <s v="CUST010"/>
    <s v="David Brown"/>
    <x v="4"/>
    <x v="4"/>
    <n v="488.99"/>
    <n v="9"/>
    <n v="0"/>
    <d v="2024-07-06T00:00:00"/>
    <n v="220.05"/>
    <n v="4259.22"/>
    <x v="3"/>
    <n v="488.99"/>
    <n v="444.72"/>
    <m/>
    <m/>
  </r>
  <r>
    <s v="CUST026"/>
    <s v="Mary Davis"/>
    <x v="1"/>
    <x v="3"/>
    <n v="933.71"/>
    <n v="17"/>
    <n v="0.1"/>
    <d v="2024-07-08T00:00:00"/>
    <n v="294.12"/>
    <n v="9371.81"/>
    <x v="3"/>
    <n v="933.71"/>
    <n v="71.819999999999936"/>
    <m/>
    <m/>
  </r>
  <r>
    <s v="CUST003"/>
    <s v="James Davis"/>
    <x v="0"/>
    <x v="2"/>
    <n v="1005.53"/>
    <n v="17"/>
    <n v="0.2"/>
    <d v="2024-07-08T00:00:00"/>
    <n v="201.11"/>
    <n v="8490.18"/>
    <x v="3"/>
    <n v="1005.53"/>
    <n v="94.569999999999936"/>
    <m/>
    <m/>
  </r>
  <r>
    <s v="CUST029"/>
    <s v="Emma Wilson"/>
    <x v="2"/>
    <x v="2"/>
    <n v="1100.0999999999999"/>
    <n v="5"/>
    <n v="0.05"/>
    <d v="2024-07-09T00:00:00"/>
    <n v="261.27"/>
    <n v="5779.05"/>
    <x v="3"/>
    <n v="1100.0999999999999"/>
    <n v="-65.399999999999864"/>
    <m/>
    <m/>
  </r>
  <r>
    <s v="CUST003"/>
    <s v="James Wilson"/>
    <x v="3"/>
    <x v="3"/>
    <n v="1034.7"/>
    <n v="15"/>
    <n v="0.15"/>
    <d v="2024-07-14T00:00:00"/>
    <n v="307.82"/>
    <n v="8490.18"/>
    <x v="3"/>
    <n v="1034.7"/>
    <n v="-158.26"/>
    <m/>
    <m/>
  </r>
  <r>
    <s v="CUST002"/>
    <s v="Mary Davis"/>
    <x v="2"/>
    <x v="0"/>
    <n v="876.44"/>
    <n v="12"/>
    <n v="0.05"/>
    <d v="2024-07-15T00:00:00"/>
    <n v="333.05"/>
    <n v="6481.43"/>
    <x v="3"/>
    <n v="876.44"/>
    <n v="494.89999999999986"/>
    <m/>
    <m/>
  </r>
  <r>
    <s v="CUST020"/>
    <s v="David Brown"/>
    <x v="0"/>
    <x v="3"/>
    <n v="1371.34"/>
    <n v="5"/>
    <n v="0.05"/>
    <d v="2024-07-15T00:00:00"/>
    <n v="455.97"/>
    <n v="4413.71"/>
    <x v="3"/>
    <n v="1371.34"/>
    <n v="-351.07999999999993"/>
    <m/>
    <m/>
  </r>
  <r>
    <s v="CUST021"/>
    <s v="Mary Jackson"/>
    <x v="3"/>
    <x v="2"/>
    <n v="1020.26"/>
    <n v="11"/>
    <n v="0.05"/>
    <d v="2024-07-21T00:00:00"/>
    <n v="242.31"/>
    <n v="8740.18"/>
    <x v="3"/>
    <n v="1020.26"/>
    <n v="-215.45000000000005"/>
    <m/>
    <m/>
  </r>
  <r>
    <s v="CUST008"/>
    <s v="James Davis"/>
    <x v="4"/>
    <x v="4"/>
    <n v="804.81"/>
    <n v="1"/>
    <n v="0.05"/>
    <d v="2024-07-29T00:00:00"/>
    <n v="344.06"/>
    <n v="9760.7999999999993"/>
    <x v="3"/>
    <n v="804.81"/>
    <n v="-196.14999999999998"/>
    <m/>
    <m/>
  </r>
  <r>
    <s v="CUST030"/>
    <s v="David Brown"/>
    <x v="4"/>
    <x v="2"/>
    <n v="608.66"/>
    <n v="1"/>
    <n v="0.05"/>
    <d v="2024-07-30T00:00:00"/>
    <n v="144.56"/>
    <n v="7928.71"/>
    <x v="3"/>
    <n v="608.66"/>
    <n v="372.54000000000008"/>
    <m/>
    <m/>
  </r>
  <r>
    <s v="CUST020"/>
    <s v="Linda Moore"/>
    <x v="2"/>
    <x v="4"/>
    <n v="981.2"/>
    <n v="19"/>
    <n v="0"/>
    <d v="2024-07-31T00:00:00"/>
    <n v="441.54"/>
    <n v="4413.71"/>
    <x v="3"/>
    <n v="981.2"/>
    <n v="-441.43000000000006"/>
    <m/>
    <m/>
  </r>
  <r>
    <s v="CUST024"/>
    <s v="David Brown"/>
    <x v="1"/>
    <x v="2"/>
    <n v="539.77"/>
    <n v="10"/>
    <n v="0.15"/>
    <d v="2024-08-05T00:00:00"/>
    <n v="114.7"/>
    <n v="7583.1299999999992"/>
    <x v="4"/>
    <n v="539.77"/>
    <n v="264.68000000000006"/>
    <m/>
    <m/>
  </r>
  <r>
    <s v="CUST012"/>
    <s v="David Anderson"/>
    <x v="2"/>
    <x v="0"/>
    <n v="804.45"/>
    <n v="5"/>
    <n v="0.2"/>
    <d v="2024-08-05T00:00:00"/>
    <n v="257.42"/>
    <n v="8339"/>
    <x v="4"/>
    <n v="804.45"/>
    <n v="722.14999999999986"/>
    <m/>
    <m/>
  </r>
  <r>
    <s v="CUST024"/>
    <s v="Emma Davis"/>
    <x v="0"/>
    <x v="2"/>
    <n v="1526.6"/>
    <n v="13"/>
    <n v="0.2"/>
    <d v="2024-08-08T00:00:00"/>
    <n v="305.32"/>
    <n v="7583.1299999999992"/>
    <x v="4"/>
    <n v="1526.6"/>
    <n v="-311.33999999999992"/>
    <m/>
    <m/>
  </r>
  <r>
    <s v="CUST012"/>
    <s v="Linda Wilson"/>
    <x v="0"/>
    <x v="2"/>
    <n v="1215.26"/>
    <n v="5"/>
    <n v="0.15"/>
    <d v="2024-08-09T00:00:00"/>
    <n v="258.24"/>
    <n v="8339"/>
    <x v="4"/>
    <n v="1215.26"/>
    <n v="46.079999999999927"/>
    <m/>
    <m/>
  </r>
  <r>
    <s v="CUST005"/>
    <s v="Linda Taylor"/>
    <x v="4"/>
    <x v="3"/>
    <n v="1261.3399999999999"/>
    <n v="3"/>
    <n v="0"/>
    <d v="2024-08-15T00:00:00"/>
    <n v="441.47"/>
    <n v="6666.130000000001"/>
    <x v="4"/>
    <n v="1261.3399999999999"/>
    <n v="-743.26999999999987"/>
    <m/>
    <m/>
  </r>
  <r>
    <s v="CUST004"/>
    <s v="Lisa Thomas"/>
    <x v="3"/>
    <x v="3"/>
    <n v="518.07000000000005"/>
    <n v="7"/>
    <n v="0.05"/>
    <d v="2024-08-18T00:00:00"/>
    <n v="172.26"/>
    <n v="7813.59"/>
    <x v="4"/>
    <n v="518.07000000000005"/>
    <n v="593.26999999999987"/>
    <m/>
    <m/>
  </r>
  <r>
    <s v="CUST026"/>
    <s v="Linda Wilson"/>
    <x v="0"/>
    <x v="4"/>
    <n v="1111.3399999999999"/>
    <n v="1"/>
    <n v="0"/>
    <d v="2024-08-19T00:00:00"/>
    <n v="500.1"/>
    <n v="9371.81"/>
    <x v="4"/>
    <n v="1111.3399999999999"/>
    <n v="180.13000000000011"/>
    <m/>
    <m/>
  </r>
  <r>
    <s v="CUST030"/>
    <s v="Mary Davis"/>
    <x v="1"/>
    <x v="1"/>
    <n v="1291.47"/>
    <n v="18"/>
    <n v="0.1"/>
    <d v="2024-08-22T00:00:00"/>
    <n v="581.16"/>
    <n v="7928.71"/>
    <x v="4"/>
    <n v="1291.47"/>
    <n v="-611.76"/>
    <m/>
    <m/>
  </r>
  <r>
    <s v="CUST007"/>
    <s v="David Brown"/>
    <x v="3"/>
    <x v="0"/>
    <n v="679.71"/>
    <n v="19"/>
    <n v="0"/>
    <d v="2024-08-30T00:00:00"/>
    <n v="271.88"/>
    <n v="9941.8799999999992"/>
    <x v="4"/>
    <n v="679.71"/>
    <n v="463.98"/>
    <m/>
    <m/>
  </r>
  <r>
    <s v="CUST020"/>
    <s v="Linda Jackson"/>
    <x v="1"/>
    <x v="3"/>
    <n v="1143.69"/>
    <n v="17"/>
    <n v="0"/>
    <d v="2024-08-30T00:00:00"/>
    <n v="400.29"/>
    <n v="4413.71"/>
    <x v="4"/>
    <n v="1143.69"/>
    <n v="-353.61"/>
    <m/>
    <m/>
  </r>
  <r>
    <s v="CUST028"/>
    <s v="Linda Brown"/>
    <x v="4"/>
    <x v="2"/>
    <n v="790.08"/>
    <n v="7"/>
    <n v="0.1"/>
    <d v="2024-09-01T00:00:00"/>
    <n v="177.77"/>
    <n v="10293.870000000001"/>
    <x v="5"/>
    <n v="790.08"/>
    <n v="280.60000000000002"/>
    <m/>
    <m/>
  </r>
  <r>
    <s v="CUST005"/>
    <s v="Lisa Davis"/>
    <x v="4"/>
    <x v="0"/>
    <n v="1070.68"/>
    <n v="7"/>
    <n v="0.05"/>
    <d v="2024-09-01T00:00:00"/>
    <n v="406.86"/>
    <n v="6666.130000000001"/>
    <x v="5"/>
    <n v="1070.68"/>
    <n v="98.210000000000036"/>
    <m/>
    <m/>
  </r>
  <r>
    <s v="CUST015"/>
    <s v="David Thomas"/>
    <x v="0"/>
    <x v="1"/>
    <n v="1168.8900000000001"/>
    <n v="4"/>
    <n v="0.1"/>
    <d v="2024-09-09T00:00:00"/>
    <n v="526"/>
    <n v="11611.060000000001"/>
    <x v="5"/>
    <n v="1168.8900000000001"/>
    <n v="166.97999999999979"/>
    <m/>
    <m/>
  </r>
  <r>
    <s v="CUST003"/>
    <s v="James Davis"/>
    <x v="2"/>
    <x v="2"/>
    <n v="1335.87"/>
    <n v="17"/>
    <n v="0"/>
    <d v="2024-09-09T00:00:00"/>
    <n v="333.97"/>
    <n v="8490.18"/>
    <x v="5"/>
    <n v="1335.87"/>
    <n v="-462.16999999999985"/>
    <m/>
    <m/>
  </r>
  <r>
    <s v="CUST023"/>
    <s v="David Brown"/>
    <x v="1"/>
    <x v="3"/>
    <n v="873.7"/>
    <n v="9"/>
    <n v="0"/>
    <d v="2024-09-11T00:00:00"/>
    <n v="305.8"/>
    <n v="5913.68"/>
    <x v="5"/>
    <n v="873.7"/>
    <n v="570.28"/>
    <m/>
    <m/>
  </r>
  <r>
    <s v="CUST004"/>
    <s v="Sarah Davis"/>
    <x v="0"/>
    <x v="4"/>
    <n v="1443.98"/>
    <n v="19"/>
    <n v="0"/>
    <d v="2024-09-12T00:00:00"/>
    <n v="649.79"/>
    <n v="7813.59"/>
    <x v="5"/>
    <n v="1443.98"/>
    <n v="-289.65000000000009"/>
    <m/>
    <m/>
  </r>
  <r>
    <s v="CUST023"/>
    <s v="James Wilson"/>
    <x v="1"/>
    <x v="4"/>
    <n v="1154.33"/>
    <n v="11"/>
    <n v="0.15"/>
    <d v="2024-09-14T00:00:00"/>
    <n v="441.53"/>
    <n v="5913.68"/>
    <x v="5"/>
    <n v="1154.33"/>
    <n v="110.16000000000008"/>
    <m/>
    <m/>
  </r>
  <r>
    <s v="CUST022"/>
    <s v="Linda Brown"/>
    <x v="2"/>
    <x v="0"/>
    <n v="1264.49"/>
    <n v="16"/>
    <n v="0.05"/>
    <d v="2024-09-14T00:00:00"/>
    <n v="480.51"/>
    <n v="4418.2800000000007"/>
    <x v="5"/>
    <n v="1264.49"/>
    <n v="-162.94000000000005"/>
    <m/>
    <m/>
  </r>
  <r>
    <s v="CUST007"/>
    <s v="Emma Taylor"/>
    <x v="0"/>
    <x v="3"/>
    <n v="1101.55"/>
    <n v="4"/>
    <n v="0.1"/>
    <d v="2024-09-16T00:00:00"/>
    <n v="346.99"/>
    <n v="9941.8799999999992"/>
    <x v="5"/>
    <n v="1101.55"/>
    <n v="-373.81999999999994"/>
    <m/>
    <m/>
  </r>
  <r>
    <s v="CUST013"/>
    <s v="Robert Anderson"/>
    <x v="2"/>
    <x v="3"/>
    <n v="727.73"/>
    <n v="1"/>
    <n v="0.1"/>
    <d v="2024-09-17T00:00:00"/>
    <n v="229.23"/>
    <n v="4162.4400000000005"/>
    <x v="5"/>
    <n v="727.73"/>
    <n v="147.67999999999995"/>
    <m/>
    <m/>
  </r>
  <r>
    <s v="CUST027"/>
    <s v="Emma Davis"/>
    <x v="1"/>
    <x v="4"/>
    <n v="875.41"/>
    <n v="13"/>
    <n v="0.15"/>
    <d v="2024-09-17T00:00:00"/>
    <n v="334.84"/>
    <n v="3906.04"/>
    <x v="5"/>
    <n v="875.41"/>
    <n v="283.53000000000009"/>
    <m/>
    <m/>
  </r>
  <r>
    <s v="CUST003"/>
    <s v="James Wilson"/>
    <x v="0"/>
    <x v="2"/>
    <n v="1158.94"/>
    <n v="19"/>
    <n v="0.2"/>
    <d v="2024-09-18T00:00:00"/>
    <n v="231.79"/>
    <n v="8490.18"/>
    <x v="5"/>
    <n v="1158.94"/>
    <n v="-192.6400000000001"/>
    <m/>
    <m/>
  </r>
  <r>
    <s v="CUST018"/>
    <s v="Mary Jackson"/>
    <x v="2"/>
    <x v="0"/>
    <n v="966.3"/>
    <n v="2"/>
    <n v="0.15"/>
    <d v="2024-09-22T00:00:00"/>
    <n v="328.54"/>
    <n v="4951.8899999999994"/>
    <x v="5"/>
    <n v="966.3"/>
    <n v="-48.819999999999936"/>
    <m/>
    <m/>
  </r>
  <r>
    <s v="CUST020"/>
    <s v="James Taylor"/>
    <x v="2"/>
    <x v="0"/>
    <n v="917.48"/>
    <n v="6"/>
    <n v="0"/>
    <d v="2024-09-23T00:00:00"/>
    <n v="366.99"/>
    <n v="4413.71"/>
    <x v="5"/>
    <n v="917.48"/>
    <n v="255.49"/>
    <m/>
    <m/>
  </r>
  <r>
    <s v="CUST029"/>
    <s v="Emma Wilson"/>
    <x v="0"/>
    <x v="3"/>
    <n v="1172.97"/>
    <n v="7"/>
    <n v="0.15"/>
    <d v="2024-09-24T00:00:00"/>
    <n v="348.96"/>
    <n v="5779.05"/>
    <x v="5"/>
    <n v="1172.97"/>
    <n v="32.849999999999909"/>
    <m/>
    <m/>
  </r>
  <r>
    <s v="CUST021"/>
    <s v="James Wilson"/>
    <x v="3"/>
    <x v="1"/>
    <n v="1205.82"/>
    <n v="11"/>
    <n v="0.1"/>
    <d v="2024-09-24T00:00:00"/>
    <n v="542.62"/>
    <n v="8740.18"/>
    <x v="5"/>
    <n v="1205.82"/>
    <n v="-378.89"/>
    <m/>
    <m/>
  </r>
  <r>
    <s v="CUST017"/>
    <s v="Sarah Davis"/>
    <x v="0"/>
    <x v="4"/>
    <n v="826.93"/>
    <n v="10"/>
    <n v="0.2"/>
    <d v="2024-09-29T00:00:00"/>
    <n v="297.69"/>
    <n v="3419.2"/>
    <x v="5"/>
    <n v="826.93"/>
    <n v="75.260000000000105"/>
    <m/>
    <m/>
  </r>
  <r>
    <s v="CUST003"/>
    <s v="James Wilson"/>
    <x v="4"/>
    <x v="1"/>
    <n v="902.19"/>
    <n v="12"/>
    <n v="0"/>
    <d v="2024-09-29T00:00:00"/>
    <n v="451.1"/>
    <n v="8490.18"/>
    <x v="5"/>
    <n v="902.19"/>
    <n v="-316.22000000000003"/>
    <m/>
    <m/>
  </r>
  <r>
    <s v="CUST027"/>
    <s v="Emma Davis"/>
    <x v="3"/>
    <x v="0"/>
    <n v="585.97"/>
    <n v="17"/>
    <n v="0.1"/>
    <d v="2024-09-30T00:00:00"/>
    <n v="210.95"/>
    <n v="3906.04"/>
    <x v="5"/>
    <n v="585.97"/>
    <n v="404.22"/>
    <m/>
    <m/>
  </r>
  <r>
    <s v="CUST016"/>
    <s v="Michael Anderson"/>
    <x v="3"/>
    <x v="1"/>
    <n v="990.19"/>
    <n v="8"/>
    <n v="0.1"/>
    <d v="2024-09-30T00:00:00"/>
    <n v="445.59"/>
    <n v="3369.17"/>
    <x v="5"/>
    <n v="990.19"/>
    <n v="23.899999999999977"/>
    <m/>
    <m/>
  </r>
  <r>
    <s v="CUST008"/>
    <s v="David Davis"/>
    <x v="4"/>
    <x v="2"/>
    <n v="1014.09"/>
    <n v="13"/>
    <n v="0.2"/>
    <d v="2024-10-02T00:00:00"/>
    <n v="202.82"/>
    <n v="9760.7999999999993"/>
    <x v="6"/>
    <n v="1014.09"/>
    <n v="-88.800000000000068"/>
    <m/>
    <m/>
  </r>
  <r>
    <s v="CUST012"/>
    <s v="Lisa Davis"/>
    <x v="3"/>
    <x v="2"/>
    <n v="925.29"/>
    <n v="17"/>
    <n v="0"/>
    <d v="2024-10-05T00:00:00"/>
    <n v="231.32"/>
    <n v="8339"/>
    <x v="6"/>
    <n v="925.29"/>
    <n v="361.25"/>
    <m/>
    <m/>
  </r>
  <r>
    <s v="CUST025"/>
    <s v="Mary Jackson"/>
    <x v="1"/>
    <x v="3"/>
    <n v="1286.54"/>
    <n v="8"/>
    <n v="0"/>
    <d v="2024-10-10T00:00:00"/>
    <n v="450.29"/>
    <n v="6716.52"/>
    <x v="6"/>
    <n v="1286.54"/>
    <n v="-324.91999999999996"/>
    <m/>
    <m/>
  </r>
  <r>
    <s v="CUST014"/>
    <s v="Sarah Davis"/>
    <x v="2"/>
    <x v="0"/>
    <n v="961.62"/>
    <n v="8"/>
    <n v="0.2"/>
    <d v="2024-10-12T00:00:00"/>
    <n v="307.72000000000003"/>
    <n v="6729.8899999999994"/>
    <x v="6"/>
    <n v="961.62"/>
    <n v="119.5200000000001"/>
    <m/>
    <m/>
  </r>
  <r>
    <s v="CUST008"/>
    <s v="James Wilson"/>
    <x v="1"/>
    <x v="0"/>
    <n v="1081.1400000000001"/>
    <n v="19"/>
    <n v="0.15"/>
    <d v="2024-10-12T00:00:00"/>
    <n v="367.59"/>
    <n v="9760.7999999999993"/>
    <x v="6"/>
    <n v="1081.1400000000001"/>
    <n v="842.52"/>
    <m/>
    <m/>
  </r>
  <r>
    <s v="CUST015"/>
    <s v="James Wilson"/>
    <x v="0"/>
    <x v="1"/>
    <n v="1923.66"/>
    <n v="9"/>
    <n v="0.2"/>
    <d v="2024-10-15T00:00:00"/>
    <n v="769.46"/>
    <n v="11611.060000000001"/>
    <x v="6"/>
    <n v="1923.66"/>
    <n v="-1194.95"/>
    <m/>
    <m/>
  </r>
  <r>
    <s v="CUST025"/>
    <s v="Emma Taylor"/>
    <x v="4"/>
    <x v="1"/>
    <n v="728.71"/>
    <n v="14"/>
    <n v="0.1"/>
    <d v="2024-10-16T00:00:00"/>
    <n v="327.92"/>
    <n v="6716.52"/>
    <x v="6"/>
    <n v="728.71"/>
    <n v="573.18000000000006"/>
    <m/>
    <m/>
  </r>
  <r>
    <s v="CUST019"/>
    <s v="Linda Jackson"/>
    <x v="4"/>
    <x v="1"/>
    <n v="1301.8900000000001"/>
    <n v="7"/>
    <n v="0.15"/>
    <d v="2024-10-16T00:00:00"/>
    <n v="553.29999999999995"/>
    <n v="4640.1099999999997"/>
    <x v="6"/>
    <n v="1301.8900000000001"/>
    <n v="-321.71000000000015"/>
    <m/>
    <m/>
  </r>
  <r>
    <s v="CUST024"/>
    <s v="Emma Taylor"/>
    <x v="1"/>
    <x v="0"/>
    <n v="980.18"/>
    <n v="16"/>
    <n v="0.1"/>
    <d v="2024-10-17T00:00:00"/>
    <n v="352.86"/>
    <n v="7583.1299999999992"/>
    <x v="6"/>
    <n v="980.18"/>
    <n v="-282.6099999999999"/>
    <m/>
    <m/>
  </r>
  <r>
    <s v="CUST027"/>
    <s v="James Wilson"/>
    <x v="0"/>
    <x v="1"/>
    <n v="697.57"/>
    <n v="17"/>
    <n v="0.1"/>
    <d v="2024-10-19T00:00:00"/>
    <n v="313.91000000000003"/>
    <n v="3906.04"/>
    <x v="6"/>
    <n v="697.57"/>
    <n v="496.03999999999985"/>
    <m/>
    <m/>
  </r>
  <r>
    <s v="CUST006"/>
    <s v="David Anderson"/>
    <x v="0"/>
    <x v="3"/>
    <n v="1193.6099999999999"/>
    <n v="1"/>
    <n v="0.15"/>
    <d v="2024-10-19T00:00:00"/>
    <n v="355.1"/>
    <n v="2699.75"/>
    <x v="6"/>
    <n v="1193.6099999999999"/>
    <n v="-422.58999999999992"/>
    <m/>
    <m/>
  </r>
  <r>
    <s v="CUST009"/>
    <s v="Emma Davis"/>
    <x v="2"/>
    <x v="2"/>
    <n v="771.02"/>
    <n v="1"/>
    <n v="0"/>
    <d v="2024-10-20T00:00:00"/>
    <n v="192.76"/>
    <n v="6505.2"/>
    <x v="6"/>
    <n v="771.02"/>
    <n v="-109.92999999999995"/>
    <m/>
    <m/>
  </r>
  <r>
    <s v="CUST003"/>
    <s v="Linda Moore"/>
    <x v="3"/>
    <x v="1"/>
    <n v="661.09"/>
    <n v="1"/>
    <n v="0.2"/>
    <d v="2024-10-28T00:00:00"/>
    <n v="264.44"/>
    <n v="8490.18"/>
    <x v="6"/>
    <n v="661.09"/>
    <n v="27.740000000000009"/>
    <m/>
    <m/>
  </r>
  <r>
    <s v="CUST012"/>
    <s v="David Brown"/>
    <x v="0"/>
    <x v="2"/>
    <n v="688.83"/>
    <n v="15"/>
    <n v="0"/>
    <d v="2024-10-30T00:00:00"/>
    <n v="172.21"/>
    <n v="8339"/>
    <x v="6"/>
    <n v="688.83"/>
    <n v="560.26999999999987"/>
    <m/>
    <m/>
  </r>
  <r>
    <s v="CUST013"/>
    <s v="Linda Wilson"/>
    <x v="4"/>
    <x v="0"/>
    <n v="1249.0999999999999"/>
    <n v="4"/>
    <n v="0.05"/>
    <d v="2024-11-01T00:00:00"/>
    <n v="474.66"/>
    <n v="4162.4400000000005"/>
    <x v="7"/>
    <n v="1249.0999999999999"/>
    <n v="-234.87999999999988"/>
    <m/>
    <m/>
  </r>
  <r>
    <s v="CUST008"/>
    <s v="James Wilson"/>
    <x v="1"/>
    <x v="4"/>
    <n v="1014.22"/>
    <n v="14"/>
    <n v="0.05"/>
    <d v="2024-11-03T00:00:00"/>
    <n v="433.58"/>
    <n v="9760.7999999999993"/>
    <x v="7"/>
    <n v="1014.22"/>
    <n v="-3.6399999999999864"/>
    <m/>
    <m/>
  </r>
  <r>
    <s v="CUST025"/>
    <s v="Lisa Davis"/>
    <x v="1"/>
    <x v="0"/>
    <n v="1010.58"/>
    <n v="2"/>
    <n v="0.15"/>
    <d v="2024-11-09T00:00:00"/>
    <n v="343.6"/>
    <n v="6716.52"/>
    <x v="7"/>
    <n v="1010.58"/>
    <n v="-53.290000000000077"/>
    <m/>
    <m/>
  </r>
  <r>
    <s v="CUST026"/>
    <s v="Mary Wilson"/>
    <x v="3"/>
    <x v="3"/>
    <n v="957.29"/>
    <n v="4"/>
    <n v="0.05"/>
    <d v="2024-11-09T00:00:00"/>
    <n v="318.3"/>
    <n v="9371.81"/>
    <x v="7"/>
    <n v="957.29"/>
    <n v="120.63000000000011"/>
    <m/>
    <m/>
  </r>
  <r>
    <s v="CUST001"/>
    <s v="Lisa Thomas"/>
    <x v="3"/>
    <x v="3"/>
    <n v="1077.92"/>
    <n v="3"/>
    <n v="0.05"/>
    <d v="2024-11-12T00:00:00"/>
    <n v="358.41"/>
    <n v="6549.55"/>
    <x v="7"/>
    <n v="1077.92"/>
    <n v="85.089999999999918"/>
    <m/>
    <m/>
  </r>
  <r>
    <s v="CUST028"/>
    <s v="Linda Brown"/>
    <x v="2"/>
    <x v="1"/>
    <n v="1163.01"/>
    <n v="5"/>
    <n v="0"/>
    <d v="2024-11-15T00:00:00"/>
    <n v="581.5"/>
    <n v="10293.870000000001"/>
    <x v="7"/>
    <n v="1163.01"/>
    <n v="-148.45000000000005"/>
    <m/>
    <m/>
  </r>
  <r>
    <s v="CUST025"/>
    <s v="Lisa Thomas"/>
    <x v="1"/>
    <x v="4"/>
    <n v="1014.56"/>
    <n v="10"/>
    <n v="0.1"/>
    <d v="2024-11-16T00:00:00"/>
    <n v="410.9"/>
    <n v="6716.52"/>
    <x v="7"/>
    <n v="1014.56"/>
    <n v="-296.52"/>
    <m/>
    <m/>
  </r>
  <r>
    <s v="CUST019"/>
    <s v="James Taylor"/>
    <x v="2"/>
    <x v="2"/>
    <n v="718.04"/>
    <n v="14"/>
    <n v="0"/>
    <d v="2024-11-17T00:00:00"/>
    <n v="179.51"/>
    <n v="4640.1099999999997"/>
    <x v="7"/>
    <n v="718.04"/>
    <n v="559.80999999999995"/>
    <m/>
    <m/>
  </r>
  <r>
    <s v="CUST004"/>
    <s v="James Taylor"/>
    <x v="4"/>
    <x v="1"/>
    <n v="1277.8499999999999"/>
    <n v="18"/>
    <n v="0.2"/>
    <d v="2024-11-17T00:00:00"/>
    <n v="511.14"/>
    <n v="7813.59"/>
    <x v="7"/>
    <n v="1277.8499999999999"/>
    <n v="-571.11999999999989"/>
    <m/>
    <m/>
  </r>
  <r>
    <s v="CUST024"/>
    <s v="James Wilson"/>
    <x v="3"/>
    <x v="2"/>
    <n v="706.73"/>
    <n v="1"/>
    <n v="0.15"/>
    <d v="2024-11-17T00:00:00"/>
    <n v="150.18"/>
    <n v="7583.1299999999992"/>
    <x v="7"/>
    <n v="706.73"/>
    <n v="703.8599999999999"/>
    <m/>
    <m/>
  </r>
  <r>
    <s v="CUST002"/>
    <s v="Linda Brown"/>
    <x v="1"/>
    <x v="2"/>
    <n v="1410.59"/>
    <n v="15"/>
    <n v="0"/>
    <d v="2024-11-19T00:00:00"/>
    <n v="352.65"/>
    <n v="6481.43"/>
    <x v="7"/>
    <n v="1410.59"/>
    <n v="-60.259999999999991"/>
    <m/>
    <m/>
  </r>
  <r>
    <s v="CUST009"/>
    <s v="Emma Wilson"/>
    <x v="2"/>
    <x v="3"/>
    <n v="1350.33"/>
    <n v="10"/>
    <n v="0"/>
    <d v="2024-11-19T00:00:00"/>
    <n v="472.62"/>
    <n v="6505.2"/>
    <x v="7"/>
    <n v="1350.33"/>
    <n v="-431.15"/>
    <m/>
    <m/>
  </r>
  <r>
    <s v="CUST029"/>
    <s v="Lisa Thomas"/>
    <x v="1"/>
    <x v="2"/>
    <n v="919.18"/>
    <n v="4"/>
    <n v="0.15"/>
    <d v="2024-11-19T00:00:00"/>
    <n v="195.33"/>
    <n v="5779.05"/>
    <x v="7"/>
    <n v="919.18"/>
    <n v="-660.67"/>
    <m/>
    <m/>
  </r>
  <r>
    <s v="CUST027"/>
    <s v="James Wilson"/>
    <x v="0"/>
    <x v="2"/>
    <n v="258.51"/>
    <n v="19"/>
    <n v="0"/>
    <d v="2024-11-20T00:00:00"/>
    <n v="64.63"/>
    <n v="3906.04"/>
    <x v="7"/>
    <n v="258.51"/>
    <n v="954.97"/>
    <m/>
    <m/>
  </r>
  <r>
    <s v="CUST011"/>
    <s v="Emma Wilson"/>
    <x v="1"/>
    <x v="0"/>
    <n v="1213.48"/>
    <n v="5"/>
    <n v="0.05"/>
    <d v="2024-11-20T00:00:00"/>
    <n v="461.12"/>
    <n v="3762.2900000000004"/>
    <x v="7"/>
    <n v="1213.48"/>
    <n v="-63.200000000000045"/>
    <m/>
    <m/>
  </r>
  <r>
    <s v="CUST021"/>
    <s v="Emma Davis"/>
    <x v="4"/>
    <x v="0"/>
    <n v="1150.28"/>
    <n v="8"/>
    <n v="0.05"/>
    <d v="2024-11-26T00:00:00"/>
    <n v="437.11"/>
    <n v="8740.18"/>
    <x v="7"/>
    <n v="1150.28"/>
    <n v="-296.41999999999996"/>
    <m/>
    <m/>
  </r>
  <r>
    <s v="CUST014"/>
    <s v="David Anderson"/>
    <x v="2"/>
    <x v="3"/>
    <n v="853.86"/>
    <n v="8"/>
    <n v="0.1"/>
    <d v="2024-11-26T00:00:00"/>
    <n v="268.97000000000003"/>
    <n v="6729.8899999999994"/>
    <x v="7"/>
    <n v="853.86"/>
    <n v="207.17999999999995"/>
    <m/>
    <m/>
  </r>
  <r>
    <s v="CUST018"/>
    <s v="Lisa Thomas"/>
    <x v="2"/>
    <x v="2"/>
    <n v="1061.04"/>
    <n v="1"/>
    <n v="0"/>
    <d v="2024-11-28T00:00:00"/>
    <n v="265.26"/>
    <n v="4951.8899999999994"/>
    <x v="7"/>
    <n v="1061.04"/>
    <n v="-166.49"/>
    <m/>
    <m/>
  </r>
  <r>
    <s v="CUST001"/>
    <s v="Sarah Anderson"/>
    <x v="0"/>
    <x v="2"/>
    <n v="894.55"/>
    <n v="19"/>
    <n v="0.2"/>
    <d v="2024-11-29T00:00:00"/>
    <n v="178.91"/>
    <n v="6549.55"/>
    <x v="7"/>
    <n v="894.55"/>
    <n v="-60.639999999999986"/>
    <m/>
    <m/>
  </r>
  <r>
    <s v="CUST007"/>
    <s v="Emma Davis"/>
    <x v="3"/>
    <x v="4"/>
    <n v="833.91"/>
    <n v="3"/>
    <n v="0.05"/>
    <d v="2024-11-30T00:00:00"/>
    <n v="356.5"/>
    <n v="9941.8799999999992"/>
    <x v="7"/>
    <n v="833.91"/>
    <n v="-13.719999999999914"/>
    <m/>
    <m/>
  </r>
  <r>
    <s v="CUST015"/>
    <s v="David Anderson"/>
    <x v="0"/>
    <x v="3"/>
    <n v="820.19"/>
    <n v="4"/>
    <n v="0.2"/>
    <d v="2024-12-04T00:00:00"/>
    <n v="229.65"/>
    <n v="11611.060000000001"/>
    <x v="8"/>
    <n v="820.19"/>
    <n v="-308.45000000000005"/>
    <m/>
    <m/>
  </r>
  <r>
    <s v="CUST015"/>
    <s v="Emma Davis"/>
    <x v="4"/>
    <x v="2"/>
    <n v="511.74"/>
    <n v="8"/>
    <n v="0.05"/>
    <d v="2024-12-05T00:00:00"/>
    <n v="121.54"/>
    <n v="11611.060000000001"/>
    <x v="8"/>
    <n v="511.74"/>
    <n v="294.28999999999996"/>
    <m/>
    <m/>
  </r>
  <r>
    <s v="CUST002"/>
    <s v="Emma Wilson"/>
    <x v="2"/>
    <x v="3"/>
    <n v="806.03"/>
    <n v="19"/>
    <n v="0.05"/>
    <d v="2024-12-12T00:00:00"/>
    <n v="268"/>
    <n v="6481.43"/>
    <x v="8"/>
    <n v="806.03"/>
    <n v="626.44000000000005"/>
    <m/>
    <m/>
  </r>
  <r>
    <s v="CUST001"/>
    <s v="Michael Anderson"/>
    <x v="4"/>
    <x v="3"/>
    <n v="1432.47"/>
    <n v="16"/>
    <n v="0.15"/>
    <d v="2024-12-14T00:00:00"/>
    <n v="426.16"/>
    <n v="6549.55"/>
    <x v="8"/>
    <n v="1432.47"/>
    <n v="56.1099999999999"/>
    <m/>
    <m/>
  </r>
  <r>
    <s v="CUST027"/>
    <s v="Linda Wilson"/>
    <x v="4"/>
    <x v="2"/>
    <n v="1488.58"/>
    <n v="10"/>
    <n v="0.15"/>
    <d v="2024-12-14T00:00:00"/>
    <n v="316.32"/>
    <n v="3906.04"/>
    <x v="8"/>
    <n v="1488.58"/>
    <n v="-257.31999999999994"/>
    <m/>
    <m/>
  </r>
  <r>
    <s v="CUST026"/>
    <s v="Emma Taylor"/>
    <x v="1"/>
    <x v="0"/>
    <n v="1231.26"/>
    <n v="9"/>
    <n v="0"/>
    <d v="2024-12-20T00:00:00"/>
    <n v="492.5"/>
    <n v="9371.81"/>
    <x v="8"/>
    <n v="1231.26"/>
    <n v="-69.589999999999918"/>
    <m/>
    <m/>
  </r>
  <r>
    <s v="CUST026"/>
    <s v="Sarah Anderson"/>
    <x v="0"/>
    <x v="2"/>
    <n v="1161.67"/>
    <n v="19"/>
    <n v="0.2"/>
    <d v="2024-12-21T00:00:00"/>
    <n v="232.33"/>
    <n v="9371.81"/>
    <x v="8"/>
    <n v="1161.67"/>
    <n v="-773.44"/>
    <m/>
    <m/>
  </r>
  <r>
    <s v="CUST022"/>
    <s v="Lisa Thomas"/>
    <x v="4"/>
    <x v="4"/>
    <n v="388.23"/>
    <n v="16"/>
    <n v="0.05"/>
    <d v="2024-12-24T00:00:00"/>
    <n v="165.97"/>
    <n v="4418.2800000000007"/>
    <x v="8"/>
    <n v="388.23"/>
    <n v="1201.19"/>
    <m/>
    <m/>
  </r>
  <r>
    <s v="CUST004"/>
    <s v="Mary Davis"/>
    <x v="3"/>
    <x v="1"/>
    <n v="1589.42"/>
    <n v="6"/>
    <n v="0.15"/>
    <d v="2024-12-25T00:00:00"/>
    <n v="675.5"/>
    <n v="7813.59"/>
    <x v="8"/>
    <n v="1589.42"/>
    <n v="-1252.76"/>
    <m/>
    <m/>
  </r>
  <r>
    <s v="CUST001"/>
    <s v="David Anderson"/>
    <x v="3"/>
    <x v="1"/>
    <n v="336.66"/>
    <n v="13"/>
    <n v="0.2"/>
    <d v="2024-12-25T00:00:00"/>
    <n v="134.66"/>
    <n v="6549.55"/>
    <x v="8"/>
    <n v="336.66"/>
    <n v="1017.1299999999999"/>
    <m/>
    <m/>
  </r>
  <r>
    <s v="CUST022"/>
    <s v="James Wilson"/>
    <x v="0"/>
    <x v="0"/>
    <n v="1353.79"/>
    <n v="14"/>
    <n v="0.1"/>
    <d v="2024-12-30T00:00:00"/>
    <n v="487.36"/>
    <n v="4418.2800000000007"/>
    <x v="8"/>
    <n v="1353.79"/>
    <n v="-691.18"/>
    <m/>
    <m/>
  </r>
  <r>
    <s v="CUST011"/>
    <s v="Linda Moore"/>
    <x v="4"/>
    <x v="1"/>
    <n v="662.61"/>
    <n v="11"/>
    <n v="0.05"/>
    <d v="2025-01-01T00:00:00"/>
    <n v="314.74"/>
    <n v="3762.2900000000004"/>
    <x v="9"/>
    <n v="662.61"/>
    <n v="-353.19"/>
    <m/>
    <m/>
  </r>
  <r>
    <s v="CUST028"/>
    <s v="Lisa Davis"/>
    <x v="3"/>
    <x v="4"/>
    <n v="309.42"/>
    <n v="1"/>
    <n v="0.2"/>
    <d v="2025-01-01T00:00:00"/>
    <n v="111.39"/>
    <n v="10293.870000000001"/>
    <x v="9"/>
    <n v="309.42"/>
    <n v="575.21"/>
    <m/>
    <m/>
  </r>
  <r>
    <s v="CUST011"/>
    <s v="Linda Wilson"/>
    <x v="3"/>
    <x v="0"/>
    <n v="884.63"/>
    <n v="18"/>
    <n v="0.1"/>
    <d v="2025-01-02T00:00:00"/>
    <n v="318.47000000000003"/>
    <n v="3762.2900000000004"/>
    <x v="9"/>
    <n v="884.63"/>
    <n v="-139.58000000000004"/>
    <m/>
    <m/>
  </r>
  <r>
    <s v="CUST028"/>
    <s v="James Wilson"/>
    <x v="4"/>
    <x v="4"/>
    <n v="745.05"/>
    <n v="10"/>
    <n v="0.1"/>
    <d v="2025-01-03T00:00:00"/>
    <n v="301.75"/>
    <n v="10293.870000000001"/>
    <x v="9"/>
    <n v="745.05"/>
    <n v="125.18000000000006"/>
    <m/>
    <m/>
  </r>
  <r>
    <s v="CUST016"/>
    <s v="James Taylor"/>
    <x v="2"/>
    <x v="1"/>
    <n v="870.23"/>
    <n v="5"/>
    <n v="0.05"/>
    <d v="2025-01-03T00:00:00"/>
    <n v="413.36"/>
    <n v="3369.17"/>
    <x v="9"/>
    <n v="870.23"/>
    <n v="-8.0399999999999636"/>
    <m/>
    <m/>
  </r>
  <r>
    <s v="CUST010"/>
    <s v="Linda Wilson"/>
    <x v="0"/>
    <x v="3"/>
    <n v="862.19"/>
    <n v="18"/>
    <n v="0.05"/>
    <d v="2025-01-06T00:00:00"/>
    <n v="286.68"/>
    <n v="4259.22"/>
    <x v="9"/>
    <n v="862.19"/>
    <n v="308.99"/>
    <m/>
    <m/>
  </r>
  <r>
    <s v="CUST013"/>
    <s v="Mary Wilson"/>
    <x v="3"/>
    <x v="1"/>
    <n v="1171.18"/>
    <n v="19"/>
    <n v="0.05"/>
    <d v="2025-01-10T00:00:00"/>
    <n v="556.30999999999995"/>
    <n v="4162.4400000000005"/>
    <x v="9"/>
    <n v="1171.18"/>
    <n v="-116.62000000000012"/>
    <m/>
    <m/>
  </r>
  <r>
    <s v="CUST015"/>
    <s v="Robert Anderson"/>
    <x v="2"/>
    <x v="3"/>
    <n v="1054.56"/>
    <n v="11"/>
    <n v="0.1"/>
    <d v="2025-01-12T00:00:00"/>
    <n v="332.19"/>
    <n v="11611.060000000001"/>
    <x v="9"/>
    <n v="1054.56"/>
    <n v="626.65000000000009"/>
    <m/>
    <m/>
  </r>
  <r>
    <s v="CUST015"/>
    <s v="James Wilson"/>
    <x v="3"/>
    <x v="2"/>
    <n v="1681.21"/>
    <n v="5"/>
    <n v="0.2"/>
    <d v="2025-01-13T00:00:00"/>
    <n v="336.24"/>
    <n v="11611.060000000001"/>
    <x v="9"/>
    <n v="1681.21"/>
    <n v="-1301.44"/>
    <m/>
    <m/>
  </r>
  <r>
    <s v="CUST015"/>
    <s v="David Thomas"/>
    <x v="0"/>
    <x v="1"/>
    <n v="379.77"/>
    <n v="9"/>
    <n v="0.05"/>
    <d v="2025-01-16T00:00:00"/>
    <n v="180.39"/>
    <n v="11611.060000000001"/>
    <x v="9"/>
    <n v="379.77"/>
    <n v="696.56"/>
    <m/>
    <m/>
  </r>
  <r>
    <s v="CUST008"/>
    <s v="Lisa Thomas"/>
    <x v="4"/>
    <x v="1"/>
    <n v="1076.33"/>
    <n v="2"/>
    <n v="0.1"/>
    <d v="2025-01-17T00:00:00"/>
    <n v="484.35"/>
    <n v="9760.7999999999993"/>
    <x v="9"/>
    <n v="1076.33"/>
    <n v="174.38000000000011"/>
    <m/>
    <m/>
  </r>
  <r>
    <s v="CUST008"/>
    <s v="Mary Davis"/>
    <x v="4"/>
    <x v="4"/>
    <n v="1250.71"/>
    <n v="7"/>
    <n v="0"/>
    <d v="2025-01-17T00:00:00"/>
    <n v="562.82000000000005"/>
    <n v="9760.7999999999993"/>
    <x v="9"/>
    <n v="1250.71"/>
    <n v="-132.37000000000012"/>
    <m/>
    <m/>
  </r>
  <r>
    <s v="CUST023"/>
    <s v="James Taylor"/>
    <x v="2"/>
    <x v="1"/>
    <n v="1118.3399999999999"/>
    <n v="6"/>
    <n v="0.2"/>
    <d v="2025-01-17T00:00:00"/>
    <n v="447.34"/>
    <n v="5913.68"/>
    <x v="9"/>
    <n v="1118.3399999999999"/>
    <n v="504.28"/>
    <m/>
    <m/>
  </r>
  <r>
    <s v="CUST024"/>
    <s v="Linda Taylor"/>
    <x v="3"/>
    <x v="1"/>
    <n v="1622.62"/>
    <n v="12"/>
    <n v="0.2"/>
    <d v="2025-01-20T00:00:00"/>
    <n v="649.04999999999995"/>
    <n v="7583.1299999999992"/>
    <x v="9"/>
    <n v="1622.62"/>
    <n v="-981.9799999999999"/>
    <m/>
    <m/>
  </r>
  <r>
    <s v="CUST018"/>
    <s v="Lisa Davis"/>
    <x v="3"/>
    <x v="0"/>
    <n v="640.64"/>
    <n v="11"/>
    <n v="0.2"/>
    <d v="2025-01-21T00:00:00"/>
    <n v="205"/>
    <n v="4951.8899999999994"/>
    <x v="9"/>
    <n v="640.64"/>
    <n v="-55.480000000000018"/>
    <m/>
    <m/>
  </r>
  <r>
    <s v="CUST030"/>
    <s v="Sarah Anderson"/>
    <x v="0"/>
    <x v="1"/>
    <n v="585.16"/>
    <n v="17"/>
    <n v="0.1"/>
    <d v="2025-01-27T00:00:00"/>
    <n v="263.32"/>
    <n v="7928.71"/>
    <x v="9"/>
    <n v="585.16"/>
    <n v="524.82000000000005"/>
    <m/>
    <m/>
  </r>
  <r>
    <s v="CUST030"/>
    <s v="Mary Davis"/>
    <x v="1"/>
    <x v="1"/>
    <n v="1109.98"/>
    <n v="5"/>
    <n v="0.2"/>
    <d v="2025-02-02T00:00:00"/>
    <n v="443.99"/>
    <n v="7928.71"/>
    <x v="10"/>
    <n v="1109.98"/>
    <n v="-11.900000000000091"/>
    <m/>
    <m/>
  </r>
  <r>
    <s v="CUST015"/>
    <s v="Lisa Thomas"/>
    <x v="1"/>
    <x v="0"/>
    <n v="1098.08"/>
    <n v="9"/>
    <n v="0.1"/>
    <d v="2025-02-04T00:00:00"/>
    <n v="395.31"/>
    <n v="11611.060000000001"/>
    <x v="10"/>
    <n v="1098.08"/>
    <n v="-270.82999999999993"/>
    <m/>
    <m/>
  </r>
  <r>
    <s v="CUST002"/>
    <s v="Lisa Davis"/>
    <x v="0"/>
    <x v="4"/>
    <n v="827.25"/>
    <n v="7"/>
    <n v="0.1"/>
    <d v="2025-02-05T00:00:00"/>
    <n v="335.04"/>
    <n v="6481.43"/>
    <x v="10"/>
    <n v="827.25"/>
    <n v="-85.37"/>
    <m/>
    <m/>
  </r>
  <r>
    <s v="CUST024"/>
    <s v="Linda Wilson"/>
    <x v="4"/>
    <x v="1"/>
    <n v="741.88"/>
    <n v="16"/>
    <n v="0.1"/>
    <d v="2025-02-07T00:00:00"/>
    <n v="333.85"/>
    <n v="7583.1299999999992"/>
    <x v="10"/>
    <n v="741.88"/>
    <n v="569.38"/>
    <m/>
    <m/>
  </r>
  <r>
    <s v="CUST004"/>
    <s v="James Davis"/>
    <x v="1"/>
    <x v="4"/>
    <n v="1311.26"/>
    <n v="6"/>
    <n v="0.1"/>
    <d v="2025-02-10T00:00:00"/>
    <n v="531.05999999999995"/>
    <n v="7813.59"/>
    <x v="10"/>
    <n v="1311.26"/>
    <n v="-737.93999999999994"/>
    <m/>
    <m/>
  </r>
  <r>
    <s v="CUST004"/>
    <s v="Mary Davis"/>
    <x v="2"/>
    <x v="4"/>
    <n v="573.32000000000005"/>
    <n v="19"/>
    <n v="0.1"/>
    <d v="2025-02-15T00:00:00"/>
    <n v="232.19"/>
    <n v="7813.59"/>
    <x v="10"/>
    <n v="573.32000000000005"/>
    <n v="541.9"/>
    <m/>
    <m/>
  </r>
  <r>
    <s v="CUST028"/>
    <s v="James Wilson"/>
    <x v="0"/>
    <x v="2"/>
    <n v="1115.22"/>
    <n v="14"/>
    <n v="0.2"/>
    <d v="2025-02-17T00:00:00"/>
    <n v="223.04"/>
    <n v="10293.870000000001"/>
    <x v="10"/>
    <n v="1115.22"/>
    <n v="-269.38"/>
    <m/>
    <m/>
  </r>
  <r>
    <s v="CUST012"/>
    <s v="Lisa Thomas"/>
    <x v="3"/>
    <x v="1"/>
    <n v="845.84"/>
    <n v="4"/>
    <n v="0"/>
    <d v="2025-02-19T00:00:00"/>
    <n v="422.92"/>
    <n v="8339"/>
    <x v="10"/>
    <n v="845.84"/>
    <n v="183.95999999999992"/>
    <m/>
    <m/>
  </r>
  <r>
    <s v="CUST026"/>
    <s v="David Brown"/>
    <x v="0"/>
    <x v="2"/>
    <n v="1029.8"/>
    <n v="3"/>
    <n v="0"/>
    <d v="2025-02-20T00:00:00"/>
    <n v="257.45"/>
    <n v="9371.81"/>
    <x v="10"/>
    <n v="1029.8"/>
    <n v="160.02999999999997"/>
    <m/>
    <m/>
  </r>
  <r>
    <s v="CUST009"/>
    <s v="Mary Davis"/>
    <x v="3"/>
    <x v="0"/>
    <n v="1189.83"/>
    <n v="2"/>
    <n v="0.2"/>
    <d v="2025-02-21T00:00:00"/>
    <n v="380.75"/>
    <n v="6505.2"/>
    <x v="10"/>
    <n v="1189.83"/>
    <n v="-485.54999999999995"/>
    <m/>
    <m/>
  </r>
  <r>
    <s v="CUST003"/>
    <s v="Sarah Anderson"/>
    <x v="2"/>
    <x v="0"/>
    <n v="704.28"/>
    <n v="15"/>
    <n v="0.2"/>
    <d v="2025-02-24T00:00:00"/>
    <n v="225.37"/>
    <n v="8490.18"/>
    <x v="10"/>
    <n v="704.28"/>
    <n v="913.94"/>
    <m/>
    <m/>
  </r>
  <r>
    <s v="CUST002"/>
    <s v="Mary Jackson"/>
    <x v="4"/>
    <x v="4"/>
    <n v="1618.22"/>
    <n v="12"/>
    <n v="0.2"/>
    <d v="2025-02-24T00:00:00"/>
    <n v="582.55999999999995"/>
    <n v="6481.43"/>
    <x v="10"/>
    <n v="1618.22"/>
    <n v="-603.79000000000008"/>
    <m/>
    <m/>
  </r>
  <r>
    <s v="CUST013"/>
    <s v="Linda Taylor"/>
    <x v="4"/>
    <x v="0"/>
    <n v="1014.43"/>
    <n v="2"/>
    <n v="0.15"/>
    <d v="2025-02-25T00:00:00"/>
    <n v="344.91"/>
    <n v="4162.4400000000005"/>
    <x v="10"/>
    <n v="1014.43"/>
    <n v="-187.45999999999992"/>
    <m/>
    <m/>
  </r>
  <r>
    <s v="CUST018"/>
    <s v="Mary Davis"/>
    <x v="4"/>
    <x v="1"/>
    <n v="826.97"/>
    <n v="18"/>
    <n v="0.2"/>
    <d v="2025-02-27T00:00:00"/>
    <n v="330.79"/>
    <n v="4951.8899999999994"/>
    <x v="10"/>
    <n v="826.97"/>
    <n v="195.26"/>
    <m/>
    <m/>
  </r>
  <r>
    <s v="CUST017"/>
    <s v="Mary Davis"/>
    <x v="4"/>
    <x v="1"/>
    <n v="1022.23"/>
    <n v="8"/>
    <n v="0.1"/>
    <d v="2025-03-01T00:00:00"/>
    <n v="460"/>
    <n v="3419.2"/>
    <x v="11"/>
    <n v="1022.23"/>
    <n v="77.460000000000036"/>
    <m/>
    <m/>
  </r>
  <r>
    <s v="CUST004"/>
    <s v="Linda Wilson"/>
    <x v="1"/>
    <x v="0"/>
    <n v="1099.69"/>
    <n v="6"/>
    <n v="0"/>
    <d v="2025-03-02T00:00:00"/>
    <n v="439.88"/>
    <n v="7813.59"/>
    <x v="11"/>
    <n v="1099.69"/>
    <n v="-389.17000000000007"/>
    <m/>
    <m/>
  </r>
  <r>
    <s v="CUST028"/>
    <s v="Sarah Davis"/>
    <x v="3"/>
    <x v="0"/>
    <n v="710.52"/>
    <n v="8"/>
    <n v="0.1"/>
    <d v="2025-03-05T00:00:00"/>
    <n v="255.79"/>
    <n v="10293.870000000001"/>
    <x v="11"/>
    <n v="710.52"/>
    <n v="-211.33999999999997"/>
    <m/>
    <m/>
  </r>
  <r>
    <s v="CUST028"/>
    <s v="Mary Wilson"/>
    <x v="3"/>
    <x v="0"/>
    <n v="499.18"/>
    <n v="15"/>
    <n v="0.2"/>
    <d v="2025-03-08T00:00:00"/>
    <n v="159.74"/>
    <n v="10293.870000000001"/>
    <x v="11"/>
    <n v="499.18"/>
    <n v="565.01"/>
    <m/>
    <m/>
  </r>
  <r>
    <s v="CUST014"/>
    <s v="Emma Davis"/>
    <x v="2"/>
    <x v="0"/>
    <n v="1064.19"/>
    <n v="18"/>
    <n v="0.05"/>
    <d v="2025-03-09T00:00:00"/>
    <n v="404.39"/>
    <n v="6729.8899999999994"/>
    <x v="11"/>
    <n v="1064.19"/>
    <n v="-625.43000000000006"/>
    <m/>
    <m/>
  </r>
  <r>
    <s v="CUST003"/>
    <s v="Emma Davis"/>
    <x v="1"/>
    <x v="4"/>
    <n v="438.76"/>
    <n v="18"/>
    <n v="0.05"/>
    <d v="2025-03-10T00:00:00"/>
    <n v="187.57"/>
    <n v="8490.18"/>
    <x v="11"/>
    <n v="438.76"/>
    <n v="426.22"/>
    <m/>
    <m/>
  </r>
  <r>
    <s v="CUST029"/>
    <s v="David Brown"/>
    <x v="0"/>
    <x v="1"/>
    <n v="864.98"/>
    <n v="2"/>
    <n v="0.05"/>
    <d v="2025-03-11T00:00:00"/>
    <n v="410.87"/>
    <n v="5779.05"/>
    <x v="11"/>
    <n v="864.98"/>
    <n v="119.94999999999993"/>
    <m/>
    <m/>
  </r>
  <r>
    <s v="CUST021"/>
    <s v="David Brown"/>
    <x v="0"/>
    <x v="3"/>
    <n v="984.93"/>
    <n v="14"/>
    <n v="0.2"/>
    <d v="2025-03-17T00:00:00"/>
    <n v="275.77999999999997"/>
    <n v="8740.18"/>
    <x v="11"/>
    <n v="984.93"/>
    <n v="508.56000000000006"/>
    <m/>
    <m/>
  </r>
  <r>
    <s v="CUST007"/>
    <s v="David Brown"/>
    <x v="0"/>
    <x v="1"/>
    <n v="1493.49"/>
    <n v="18"/>
    <n v="0"/>
    <d v="2025-03-18T00:00:00"/>
    <n v="746.74"/>
    <n v="9941.8799999999992"/>
    <x v="11"/>
    <n v="1493.49"/>
    <n v="-804.06000000000006"/>
    <m/>
    <m/>
  </r>
  <r>
    <s v="CUST009"/>
    <s v="Linda Taylor"/>
    <x v="2"/>
    <x v="1"/>
    <n v="689.43"/>
    <n v="9"/>
    <n v="0.1"/>
    <d v="2025-03-20T00:00:00"/>
    <n v="310.24"/>
    <n v="6505.2"/>
    <x v="11"/>
    <n v="689.43"/>
    <n v="-7.1899999999999409"/>
    <m/>
    <m/>
  </r>
  <r>
    <s v="CUST023"/>
    <s v="Mary Wilson"/>
    <x v="2"/>
    <x v="1"/>
    <n v="682.24"/>
    <n v="1"/>
    <n v="0"/>
    <d v="2025-03-22T00:00:00"/>
    <n v="341.12"/>
    <n v="5913.68"/>
    <x v="11"/>
    <n v="682.24"/>
    <n v="-223.7"/>
    <m/>
    <m/>
  </r>
  <r>
    <s v="CUST029"/>
    <s v="Michael Anderson"/>
    <x v="3"/>
    <x v="2"/>
    <n v="458.54"/>
    <n v="15"/>
    <n v="0.2"/>
    <d v="2025-03-25T00:00:00"/>
    <n v="91.71"/>
    <n v="5779.05"/>
    <x v="11"/>
    <n v="458.54"/>
    <n v="725.71"/>
    <m/>
    <m/>
  </r>
  <r>
    <s v="CUST009"/>
    <s v="Michael Anderson"/>
    <x v="2"/>
    <x v="3"/>
    <n v="1184.25"/>
    <n v="11"/>
    <n v="0.2"/>
    <d v="2025-03-26T00:00:00"/>
    <n v="331.59"/>
    <n v="6505.2"/>
    <x v="11"/>
    <n v="1184.25"/>
    <n v="-422.11"/>
    <m/>
    <m/>
  </r>
  <r>
    <s v="CUST007"/>
    <s v="James Davis"/>
    <x v="2"/>
    <x v="1"/>
    <n v="762.14"/>
    <n v="9"/>
    <n v="0"/>
    <d v="2025-03-27T00:00:00"/>
    <n v="381.07"/>
    <n v="9941.8799999999992"/>
    <x v="11"/>
    <n v="762.14"/>
    <n v="-11.42999999999995"/>
    <m/>
    <m/>
  </r>
  <r>
    <s v="CUST030"/>
    <s v="Linda Taylor"/>
    <x v="3"/>
    <x v="0"/>
    <n v="750.71"/>
    <n v="10"/>
    <n v="0.15"/>
    <d v="2025-03-27T00:00:00"/>
    <n v="255.24"/>
    <n v="7928.71"/>
    <x v="11"/>
    <n v="750.71"/>
    <n v="706.23"/>
    <m/>
    <m/>
  </r>
  <r>
    <s v="CUST018"/>
    <s v="David Anderson"/>
    <x v="4"/>
    <x v="1"/>
    <n v="1456.94"/>
    <n v="14"/>
    <n v="0.05"/>
    <d v="2025-03-29T00:00:00"/>
    <n v="692.05"/>
    <n v="4951.8899999999994"/>
    <x v="11"/>
    <n v="1456.94"/>
    <n v="-363.55999999999995"/>
    <m/>
    <m/>
  </r>
  <r>
    <s v="CUST008"/>
    <s v="Emma Wilson"/>
    <x v="1"/>
    <x v="3"/>
    <n v="1093.3800000000001"/>
    <n v="17"/>
    <n v="0.1"/>
    <d v="2025-03-29T00:00:00"/>
    <n v="344.41"/>
    <n v="9760.7999999999993"/>
    <x v="11"/>
    <n v="1093.3800000000001"/>
    <n v="-159.11000000000013"/>
    <m/>
    <m/>
  </r>
  <r>
    <s v="CUST014"/>
    <s v="Sarah Anderson"/>
    <x v="0"/>
    <x v="1"/>
    <n v="934.27"/>
    <n v="8"/>
    <n v="0.15"/>
    <d v="2025-03-30T00:00:00"/>
    <n v="397.06"/>
    <n v="6729.8899999999994"/>
    <x v="11"/>
    <n v="934.27"/>
    <n v="531.07999999999993"/>
    <m/>
    <m/>
  </r>
  <r>
    <s v="CUST024"/>
    <s v="David Thomas"/>
    <x v="4"/>
    <x v="1"/>
    <n v="1465.35"/>
    <n v="8"/>
    <n v="0.2"/>
    <d v="2025-03-30T00:00:00"/>
    <n v="586.14"/>
    <n v="7583.1299999999992"/>
    <x v="11"/>
    <n v="1465.35"/>
    <n v="-724.55"/>
    <m/>
    <m/>
  </r>
  <r>
    <s v="CUST028"/>
    <s v="Robert Anderson"/>
    <x v="2"/>
    <x v="4"/>
    <n v="740.8"/>
    <n v="3"/>
    <n v="0"/>
    <d v="2025-04-02T00:00:00"/>
    <n v="333.36"/>
    <n v="10293.870000000001"/>
    <x v="12"/>
    <n v="740.8"/>
    <n v="-195.3599999999999"/>
    <m/>
    <m/>
  </r>
  <r>
    <s v="CUST015"/>
    <s v="Sarah Anderson"/>
    <x v="0"/>
    <x v="4"/>
    <n v="545.44000000000005"/>
    <n v="17"/>
    <n v="0"/>
    <d v="2025-04-05T00:00:00"/>
    <n v="245.45"/>
    <n v="11611.060000000001"/>
    <x v="12"/>
    <n v="545.44000000000005"/>
    <n v="452.16999999999996"/>
    <m/>
    <m/>
  </r>
  <r>
    <s v="CUST010"/>
    <s v="David Thomas"/>
    <x v="1"/>
    <x v="0"/>
    <n v="997.61"/>
    <n v="8"/>
    <n v="0.05"/>
    <d v="2025-04-05T00:00:00"/>
    <n v="379.09"/>
    <n v="4259.22"/>
    <x v="12"/>
    <n v="997.61"/>
    <n v="-69.289999999999964"/>
    <m/>
    <m/>
  </r>
  <r>
    <s v="CUST016"/>
    <s v="David Thomas"/>
    <x v="2"/>
    <x v="1"/>
    <n v="928.32"/>
    <n v="2"/>
    <n v="0.05"/>
    <d v="2025-04-07T00:00:00"/>
    <n v="440.95"/>
    <n v="3369.17"/>
    <x v="12"/>
    <n v="928.32"/>
    <n v="-928.3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75DFA-9B30-47D3-9D2E-A434F85376D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G10" firstHeaderRow="1" firstDataRow="2" firstDataCol="1"/>
  <pivotFields count="15">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 showAll="0">
      <items count="14">
        <item x="0"/>
        <item x="12"/>
        <item x="4"/>
        <item x="8"/>
        <item x="10"/>
        <item x="9"/>
        <item x="3"/>
        <item x="2"/>
        <item x="11"/>
        <item x="1"/>
        <item x="7"/>
        <item x="6"/>
        <item x="5"/>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9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2" count="1" selected="0">
            <x v="0"/>
          </reference>
          <reference field="3" count="1" selected="0">
            <x v="0"/>
          </reference>
        </references>
      </pivotArea>
    </chartFormat>
    <chartFormat chart="2" format="6">
      <pivotArea type="data" outline="0" fieldPosition="0">
        <references count="3">
          <reference field="4294967294" count="1" selected="0">
            <x v="0"/>
          </reference>
          <reference field="2" count="1" selected="0">
            <x v="1"/>
          </reference>
          <reference field="3" count="1" selected="0">
            <x v="0"/>
          </reference>
        </references>
      </pivotArea>
    </chartFormat>
    <chartFormat chart="2" format="7">
      <pivotArea type="data" outline="0" fieldPosition="0">
        <references count="3">
          <reference field="4294967294" count="1" selected="0">
            <x v="0"/>
          </reference>
          <reference field="2" count="1" selected="0">
            <x v="2"/>
          </reference>
          <reference field="3" count="1" selected="0">
            <x v="0"/>
          </reference>
        </references>
      </pivotArea>
    </chartFormat>
    <chartFormat chart="2" format="8">
      <pivotArea type="data" outline="0" fieldPosition="0">
        <references count="3">
          <reference field="4294967294" count="1" selected="0">
            <x v="0"/>
          </reference>
          <reference field="2" count="1" selected="0">
            <x v="3"/>
          </reference>
          <reference field="3" count="1" selected="0">
            <x v="0"/>
          </reference>
        </references>
      </pivotArea>
    </chartFormat>
    <chartFormat chart="2" format="9">
      <pivotArea type="data" outline="0" fieldPosition="0">
        <references count="3">
          <reference field="4294967294" count="1" selected="0">
            <x v="0"/>
          </reference>
          <reference field="2" count="1" selected="0">
            <x v="4"/>
          </reference>
          <reference field="3" count="1" selected="0">
            <x v="0"/>
          </reference>
        </references>
      </pivotArea>
    </chartFormat>
    <chartFormat chart="2" format="10">
      <pivotArea type="data" outline="0" fieldPosition="0">
        <references count="3">
          <reference field="4294967294" count="1" selected="0">
            <x v="0"/>
          </reference>
          <reference field="2" count="1" selected="0">
            <x v="0"/>
          </reference>
          <reference field="3" count="1" selected="0">
            <x v="1"/>
          </reference>
        </references>
      </pivotArea>
    </chartFormat>
    <chartFormat chart="2" format="11">
      <pivotArea type="data" outline="0" fieldPosition="0">
        <references count="3">
          <reference field="4294967294" count="1" selected="0">
            <x v="0"/>
          </reference>
          <reference field="2" count="1" selected="0">
            <x v="1"/>
          </reference>
          <reference field="3" count="1" selected="0">
            <x v="1"/>
          </reference>
        </references>
      </pivotArea>
    </chartFormat>
    <chartFormat chart="2" format="12">
      <pivotArea type="data" outline="0" fieldPosition="0">
        <references count="3">
          <reference field="4294967294" count="1" selected="0">
            <x v="0"/>
          </reference>
          <reference field="2" count="1" selected="0">
            <x v="2"/>
          </reference>
          <reference field="3" count="1" selected="0">
            <x v="1"/>
          </reference>
        </references>
      </pivotArea>
    </chartFormat>
    <chartFormat chart="2" format="13">
      <pivotArea type="data" outline="0" fieldPosition="0">
        <references count="3">
          <reference field="4294967294" count="1" selected="0">
            <x v="0"/>
          </reference>
          <reference field="2" count="1" selected="0">
            <x v="3"/>
          </reference>
          <reference field="3" count="1" selected="0">
            <x v="1"/>
          </reference>
        </references>
      </pivotArea>
    </chartFormat>
    <chartFormat chart="2" format="14">
      <pivotArea type="data" outline="0" fieldPosition="0">
        <references count="3">
          <reference field="4294967294" count="1" selected="0">
            <x v="0"/>
          </reference>
          <reference field="2" count="1" selected="0">
            <x v="4"/>
          </reference>
          <reference field="3" count="1" selected="0">
            <x v="1"/>
          </reference>
        </references>
      </pivotArea>
    </chartFormat>
    <chartFormat chart="2" format="15">
      <pivotArea type="data" outline="0" fieldPosition="0">
        <references count="3">
          <reference field="4294967294" count="1" selected="0">
            <x v="0"/>
          </reference>
          <reference field="2" count="1" selected="0">
            <x v="0"/>
          </reference>
          <reference field="3" count="1" selected="0">
            <x v="2"/>
          </reference>
        </references>
      </pivotArea>
    </chartFormat>
    <chartFormat chart="2" format="16">
      <pivotArea type="data" outline="0" fieldPosition="0">
        <references count="3">
          <reference field="4294967294" count="1" selected="0">
            <x v="0"/>
          </reference>
          <reference field="2" count="1" selected="0">
            <x v="1"/>
          </reference>
          <reference field="3" count="1" selected="0">
            <x v="2"/>
          </reference>
        </references>
      </pivotArea>
    </chartFormat>
    <chartFormat chart="2" format="17">
      <pivotArea type="data" outline="0" fieldPosition="0">
        <references count="3">
          <reference field="4294967294" count="1" selected="0">
            <x v="0"/>
          </reference>
          <reference field="2" count="1" selected="0">
            <x v="2"/>
          </reference>
          <reference field="3" count="1" selected="0">
            <x v="2"/>
          </reference>
        </references>
      </pivotArea>
    </chartFormat>
    <chartFormat chart="2" format="18">
      <pivotArea type="data" outline="0" fieldPosition="0">
        <references count="3">
          <reference field="4294967294" count="1" selected="0">
            <x v="0"/>
          </reference>
          <reference field="2" count="1" selected="0">
            <x v="3"/>
          </reference>
          <reference field="3" count="1" selected="0">
            <x v="2"/>
          </reference>
        </references>
      </pivotArea>
    </chartFormat>
    <chartFormat chart="2" format="19">
      <pivotArea type="data" outline="0" fieldPosition="0">
        <references count="3">
          <reference field="4294967294" count="1" selected="0">
            <x v="0"/>
          </reference>
          <reference field="2" count="1" selected="0">
            <x v="4"/>
          </reference>
          <reference field="3" count="1" selected="0">
            <x v="2"/>
          </reference>
        </references>
      </pivotArea>
    </chartFormat>
    <chartFormat chart="2" format="20">
      <pivotArea type="data" outline="0" fieldPosition="0">
        <references count="3">
          <reference field="4294967294" count="1" selected="0">
            <x v="0"/>
          </reference>
          <reference field="2" count="1" selected="0">
            <x v="0"/>
          </reference>
          <reference field="3" count="1" selected="0">
            <x v="3"/>
          </reference>
        </references>
      </pivotArea>
    </chartFormat>
    <chartFormat chart="2" format="21">
      <pivotArea type="data" outline="0" fieldPosition="0">
        <references count="3">
          <reference field="4294967294" count="1" selected="0">
            <x v="0"/>
          </reference>
          <reference field="2" count="1" selected="0">
            <x v="1"/>
          </reference>
          <reference field="3" count="1" selected="0">
            <x v="3"/>
          </reference>
        </references>
      </pivotArea>
    </chartFormat>
    <chartFormat chart="2" format="22">
      <pivotArea type="data" outline="0" fieldPosition="0">
        <references count="3">
          <reference field="4294967294" count="1" selected="0">
            <x v="0"/>
          </reference>
          <reference field="2" count="1" selected="0">
            <x v="2"/>
          </reference>
          <reference field="3" count="1" selected="0">
            <x v="3"/>
          </reference>
        </references>
      </pivotArea>
    </chartFormat>
    <chartFormat chart="2" format="23">
      <pivotArea type="data" outline="0" fieldPosition="0">
        <references count="3">
          <reference field="4294967294" count="1" selected="0">
            <x v="0"/>
          </reference>
          <reference field="2" count="1" selected="0">
            <x v="3"/>
          </reference>
          <reference field="3" count="1" selected="0">
            <x v="3"/>
          </reference>
        </references>
      </pivotArea>
    </chartFormat>
    <chartFormat chart="2" format="24">
      <pivotArea type="data" outline="0" fieldPosition="0">
        <references count="3">
          <reference field="4294967294" count="1" selected="0">
            <x v="0"/>
          </reference>
          <reference field="2" count="1" selected="0">
            <x v="4"/>
          </reference>
          <reference field="3" count="1" selected="0">
            <x v="3"/>
          </reference>
        </references>
      </pivotArea>
    </chartFormat>
    <chartFormat chart="2" format="25">
      <pivotArea type="data" outline="0" fieldPosition="0">
        <references count="3">
          <reference field="4294967294" count="1" selected="0">
            <x v="0"/>
          </reference>
          <reference field="2" count="1" selected="0">
            <x v="0"/>
          </reference>
          <reference field="3" count="1" selected="0">
            <x v="4"/>
          </reference>
        </references>
      </pivotArea>
    </chartFormat>
    <chartFormat chart="2" format="26">
      <pivotArea type="data" outline="0" fieldPosition="0">
        <references count="3">
          <reference field="4294967294" count="1" selected="0">
            <x v="0"/>
          </reference>
          <reference field="2" count="1" selected="0">
            <x v="1"/>
          </reference>
          <reference field="3" count="1" selected="0">
            <x v="4"/>
          </reference>
        </references>
      </pivotArea>
    </chartFormat>
    <chartFormat chart="2" format="27">
      <pivotArea type="data" outline="0" fieldPosition="0">
        <references count="3">
          <reference field="4294967294" count="1" selected="0">
            <x v="0"/>
          </reference>
          <reference field="2" count="1" selected="0">
            <x v="2"/>
          </reference>
          <reference field="3" count="1" selected="0">
            <x v="4"/>
          </reference>
        </references>
      </pivotArea>
    </chartFormat>
    <chartFormat chart="2" format="28">
      <pivotArea type="data" outline="0" fieldPosition="0">
        <references count="3">
          <reference field="4294967294" count="1" selected="0">
            <x v="0"/>
          </reference>
          <reference field="2" count="1" selected="0">
            <x v="3"/>
          </reference>
          <reference field="3" count="1" selected="0">
            <x v="4"/>
          </reference>
        </references>
      </pivotArea>
    </chartFormat>
    <chartFormat chart="2" format="29">
      <pivotArea type="data" outline="0" fieldPosition="0">
        <references count="3">
          <reference field="4294967294" count="1" selected="0">
            <x v="0"/>
          </reference>
          <reference field="2" count="1" selected="0">
            <x v="4"/>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3" format="9" series="1">
      <pivotArea type="data" outline="0" fieldPosition="0">
        <references count="2">
          <reference field="4294967294" count="1" selected="0">
            <x v="0"/>
          </reference>
          <reference field="3" count="1" selected="0">
            <x v="4"/>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1"/>
          </reference>
        </references>
      </pivotArea>
    </chartFormat>
    <chartFormat chart="5" format="7" series="1">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2">
          <reference field="4294967294" count="1" selected="0">
            <x v="0"/>
          </reference>
          <reference field="3" count="1" selected="0">
            <x v="3"/>
          </reference>
        </references>
      </pivotArea>
    </chartFormat>
    <chartFormat chart="5" format="9" series="1">
      <pivotArea type="data" outline="0" fieldPosition="0">
        <references count="2">
          <reference field="4294967294" count="1" selected="0">
            <x v="0"/>
          </reference>
          <reference field="3" count="1" selected="0">
            <x v="4"/>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 chart="14" format="10" series="1">
      <pivotArea type="data" outline="0" fieldPosition="0">
        <references count="2">
          <reference field="4294967294" count="1" selected="0">
            <x v="0"/>
          </reference>
          <reference field="3" count="1" selected="0">
            <x v="0"/>
          </reference>
        </references>
      </pivotArea>
    </chartFormat>
    <chartFormat chart="14" format="11" series="1">
      <pivotArea type="data" outline="0" fieldPosition="0">
        <references count="2">
          <reference field="4294967294" count="1" selected="0">
            <x v="0"/>
          </reference>
          <reference field="3" count="1" selected="0">
            <x v="1"/>
          </reference>
        </references>
      </pivotArea>
    </chartFormat>
    <chartFormat chart="14" format="12" series="1">
      <pivotArea type="data" outline="0" fieldPosition="0">
        <references count="2">
          <reference field="4294967294" count="1" selected="0">
            <x v="0"/>
          </reference>
          <reference field="3" count="1" selected="0">
            <x v="2"/>
          </reference>
        </references>
      </pivotArea>
    </chartFormat>
    <chartFormat chart="14" format="13" series="1">
      <pivotArea type="data" outline="0" fieldPosition="0">
        <references count="2">
          <reference field="4294967294" count="1" selected="0">
            <x v="0"/>
          </reference>
          <reference field="3" count="1" selected="0">
            <x v="3"/>
          </reference>
        </references>
      </pivotArea>
    </chartFormat>
    <chartFormat chart="14" format="14" series="1">
      <pivotArea type="data" outline="0" fieldPosition="0">
        <references count="2">
          <reference field="4294967294" count="1" selected="0">
            <x v="0"/>
          </reference>
          <reference field="3" count="1" selected="0">
            <x v="4"/>
          </reference>
        </references>
      </pivotArea>
    </chartFormat>
    <chartFormat chart="16" format="90" series="1">
      <pivotArea type="data" outline="0" fieldPosition="0">
        <references count="2">
          <reference field="4294967294" count="1" selected="0">
            <x v="0"/>
          </reference>
          <reference field="3" count="1" selected="0">
            <x v="0"/>
          </reference>
        </references>
      </pivotArea>
    </chartFormat>
    <chartFormat chart="16" format="91">
      <pivotArea type="data" outline="0" fieldPosition="0">
        <references count="3">
          <reference field="4294967294" count="1" selected="0">
            <x v="0"/>
          </reference>
          <reference field="2" count="1" selected="0">
            <x v="0"/>
          </reference>
          <reference field="3" count="1" selected="0">
            <x v="0"/>
          </reference>
        </references>
      </pivotArea>
    </chartFormat>
    <chartFormat chart="16" format="92">
      <pivotArea type="data" outline="0" fieldPosition="0">
        <references count="3">
          <reference field="4294967294" count="1" selected="0">
            <x v="0"/>
          </reference>
          <reference field="2" count="1" selected="0">
            <x v="1"/>
          </reference>
          <reference field="3" count="1" selected="0">
            <x v="0"/>
          </reference>
        </references>
      </pivotArea>
    </chartFormat>
    <chartFormat chart="16" format="93">
      <pivotArea type="data" outline="0" fieldPosition="0">
        <references count="3">
          <reference field="4294967294" count="1" selected="0">
            <x v="0"/>
          </reference>
          <reference field="2" count="1" selected="0">
            <x v="2"/>
          </reference>
          <reference field="3" count="1" selected="0">
            <x v="0"/>
          </reference>
        </references>
      </pivotArea>
    </chartFormat>
    <chartFormat chart="16" format="94">
      <pivotArea type="data" outline="0" fieldPosition="0">
        <references count="3">
          <reference field="4294967294" count="1" selected="0">
            <x v="0"/>
          </reference>
          <reference field="2" count="1" selected="0">
            <x v="3"/>
          </reference>
          <reference field="3" count="1" selected="0">
            <x v="0"/>
          </reference>
        </references>
      </pivotArea>
    </chartFormat>
    <chartFormat chart="16" format="95">
      <pivotArea type="data" outline="0" fieldPosition="0">
        <references count="3">
          <reference field="4294967294" count="1" selected="0">
            <x v="0"/>
          </reference>
          <reference field="2" count="1" selected="0">
            <x v="4"/>
          </reference>
          <reference field="3" count="1" selected="0">
            <x v="0"/>
          </reference>
        </references>
      </pivotArea>
    </chartFormat>
    <chartFormat chart="16" format="96" series="1">
      <pivotArea type="data" outline="0" fieldPosition="0">
        <references count="2">
          <reference field="4294967294" count="1" selected="0">
            <x v="0"/>
          </reference>
          <reference field="3" count="1" selected="0">
            <x v="1"/>
          </reference>
        </references>
      </pivotArea>
    </chartFormat>
    <chartFormat chart="16" format="97">
      <pivotArea type="data" outline="0" fieldPosition="0">
        <references count="3">
          <reference field="4294967294" count="1" selected="0">
            <x v="0"/>
          </reference>
          <reference field="2" count="1" selected="0">
            <x v="0"/>
          </reference>
          <reference field="3" count="1" selected="0">
            <x v="1"/>
          </reference>
        </references>
      </pivotArea>
    </chartFormat>
    <chartFormat chart="16" format="98">
      <pivotArea type="data" outline="0" fieldPosition="0">
        <references count="3">
          <reference field="4294967294" count="1" selected="0">
            <x v="0"/>
          </reference>
          <reference field="2" count="1" selected="0">
            <x v="1"/>
          </reference>
          <reference field="3" count="1" selected="0">
            <x v="1"/>
          </reference>
        </references>
      </pivotArea>
    </chartFormat>
    <chartFormat chart="16" format="99">
      <pivotArea type="data" outline="0" fieldPosition="0">
        <references count="3">
          <reference field="4294967294" count="1" selected="0">
            <x v="0"/>
          </reference>
          <reference field="2" count="1" selected="0">
            <x v="2"/>
          </reference>
          <reference field="3" count="1" selected="0">
            <x v="1"/>
          </reference>
        </references>
      </pivotArea>
    </chartFormat>
    <chartFormat chart="16" format="100">
      <pivotArea type="data" outline="0" fieldPosition="0">
        <references count="3">
          <reference field="4294967294" count="1" selected="0">
            <x v="0"/>
          </reference>
          <reference field="2" count="1" selected="0">
            <x v="3"/>
          </reference>
          <reference field="3" count="1" selected="0">
            <x v="1"/>
          </reference>
        </references>
      </pivotArea>
    </chartFormat>
    <chartFormat chart="16" format="101">
      <pivotArea type="data" outline="0" fieldPosition="0">
        <references count="3">
          <reference field="4294967294" count="1" selected="0">
            <x v="0"/>
          </reference>
          <reference field="2" count="1" selected="0">
            <x v="4"/>
          </reference>
          <reference field="3" count="1" selected="0">
            <x v="1"/>
          </reference>
        </references>
      </pivotArea>
    </chartFormat>
    <chartFormat chart="16" format="102" series="1">
      <pivotArea type="data" outline="0" fieldPosition="0">
        <references count="2">
          <reference field="4294967294" count="1" selected="0">
            <x v="0"/>
          </reference>
          <reference field="3" count="1" selected="0">
            <x v="2"/>
          </reference>
        </references>
      </pivotArea>
    </chartFormat>
    <chartFormat chart="16" format="103">
      <pivotArea type="data" outline="0" fieldPosition="0">
        <references count="3">
          <reference field="4294967294" count="1" selected="0">
            <x v="0"/>
          </reference>
          <reference field="2" count="1" selected="0">
            <x v="0"/>
          </reference>
          <reference field="3" count="1" selected="0">
            <x v="2"/>
          </reference>
        </references>
      </pivotArea>
    </chartFormat>
    <chartFormat chart="16" format="104">
      <pivotArea type="data" outline="0" fieldPosition="0">
        <references count="3">
          <reference field="4294967294" count="1" selected="0">
            <x v="0"/>
          </reference>
          <reference field="2" count="1" selected="0">
            <x v="1"/>
          </reference>
          <reference field="3" count="1" selected="0">
            <x v="2"/>
          </reference>
        </references>
      </pivotArea>
    </chartFormat>
    <chartFormat chart="16" format="105">
      <pivotArea type="data" outline="0" fieldPosition="0">
        <references count="3">
          <reference field="4294967294" count="1" selected="0">
            <x v="0"/>
          </reference>
          <reference field="2" count="1" selected="0">
            <x v="2"/>
          </reference>
          <reference field="3" count="1" selected="0">
            <x v="2"/>
          </reference>
        </references>
      </pivotArea>
    </chartFormat>
    <chartFormat chart="16" format="106">
      <pivotArea type="data" outline="0" fieldPosition="0">
        <references count="3">
          <reference field="4294967294" count="1" selected="0">
            <x v="0"/>
          </reference>
          <reference field="2" count="1" selected="0">
            <x v="3"/>
          </reference>
          <reference field="3" count="1" selected="0">
            <x v="2"/>
          </reference>
        </references>
      </pivotArea>
    </chartFormat>
    <chartFormat chart="16" format="107">
      <pivotArea type="data" outline="0" fieldPosition="0">
        <references count="3">
          <reference field="4294967294" count="1" selected="0">
            <x v="0"/>
          </reference>
          <reference field="2" count="1" selected="0">
            <x v="4"/>
          </reference>
          <reference field="3" count="1" selected="0">
            <x v="2"/>
          </reference>
        </references>
      </pivotArea>
    </chartFormat>
    <chartFormat chart="16" format="108" series="1">
      <pivotArea type="data" outline="0" fieldPosition="0">
        <references count="2">
          <reference field="4294967294" count="1" selected="0">
            <x v="0"/>
          </reference>
          <reference field="3" count="1" selected="0">
            <x v="3"/>
          </reference>
        </references>
      </pivotArea>
    </chartFormat>
    <chartFormat chart="16" format="109">
      <pivotArea type="data" outline="0" fieldPosition="0">
        <references count="3">
          <reference field="4294967294" count="1" selected="0">
            <x v="0"/>
          </reference>
          <reference field="2" count="1" selected="0">
            <x v="0"/>
          </reference>
          <reference field="3" count="1" selected="0">
            <x v="3"/>
          </reference>
        </references>
      </pivotArea>
    </chartFormat>
    <chartFormat chart="16" format="110">
      <pivotArea type="data" outline="0" fieldPosition="0">
        <references count="3">
          <reference field="4294967294" count="1" selected="0">
            <x v="0"/>
          </reference>
          <reference field="2" count="1" selected="0">
            <x v="1"/>
          </reference>
          <reference field="3" count="1" selected="0">
            <x v="3"/>
          </reference>
        </references>
      </pivotArea>
    </chartFormat>
    <chartFormat chart="16" format="111">
      <pivotArea type="data" outline="0" fieldPosition="0">
        <references count="3">
          <reference field="4294967294" count="1" selected="0">
            <x v="0"/>
          </reference>
          <reference field="2" count="1" selected="0">
            <x v="2"/>
          </reference>
          <reference field="3" count="1" selected="0">
            <x v="3"/>
          </reference>
        </references>
      </pivotArea>
    </chartFormat>
    <chartFormat chart="16" format="112">
      <pivotArea type="data" outline="0" fieldPosition="0">
        <references count="3">
          <reference field="4294967294" count="1" selected="0">
            <x v="0"/>
          </reference>
          <reference field="2" count="1" selected="0">
            <x v="3"/>
          </reference>
          <reference field="3" count="1" selected="0">
            <x v="3"/>
          </reference>
        </references>
      </pivotArea>
    </chartFormat>
    <chartFormat chart="16" format="113">
      <pivotArea type="data" outline="0" fieldPosition="0">
        <references count="3">
          <reference field="4294967294" count="1" selected="0">
            <x v="0"/>
          </reference>
          <reference field="2" count="1" selected="0">
            <x v="4"/>
          </reference>
          <reference field="3" count="1" selected="0">
            <x v="3"/>
          </reference>
        </references>
      </pivotArea>
    </chartFormat>
    <chartFormat chart="16" format="114" series="1">
      <pivotArea type="data" outline="0" fieldPosition="0">
        <references count="2">
          <reference field="4294967294" count="1" selected="0">
            <x v="0"/>
          </reference>
          <reference field="3" count="1" selected="0">
            <x v="4"/>
          </reference>
        </references>
      </pivotArea>
    </chartFormat>
    <chartFormat chart="16" format="115">
      <pivotArea type="data" outline="0" fieldPosition="0">
        <references count="3">
          <reference field="4294967294" count="1" selected="0">
            <x v="0"/>
          </reference>
          <reference field="2" count="1" selected="0">
            <x v="0"/>
          </reference>
          <reference field="3" count="1" selected="0">
            <x v="4"/>
          </reference>
        </references>
      </pivotArea>
    </chartFormat>
    <chartFormat chart="16" format="116">
      <pivotArea type="data" outline="0" fieldPosition="0">
        <references count="3">
          <reference field="4294967294" count="1" selected="0">
            <x v="0"/>
          </reference>
          <reference field="2" count="1" selected="0">
            <x v="1"/>
          </reference>
          <reference field="3" count="1" selected="0">
            <x v="4"/>
          </reference>
        </references>
      </pivotArea>
    </chartFormat>
    <chartFormat chart="16" format="117">
      <pivotArea type="data" outline="0" fieldPosition="0">
        <references count="3">
          <reference field="4294967294" count="1" selected="0">
            <x v="0"/>
          </reference>
          <reference field="2" count="1" selected="0">
            <x v="2"/>
          </reference>
          <reference field="3" count="1" selected="0">
            <x v="4"/>
          </reference>
        </references>
      </pivotArea>
    </chartFormat>
    <chartFormat chart="16" format="118">
      <pivotArea type="data" outline="0" fieldPosition="0">
        <references count="3">
          <reference field="4294967294" count="1" selected="0">
            <x v="0"/>
          </reference>
          <reference field="2" count="1" selected="0">
            <x v="3"/>
          </reference>
          <reference field="3" count="1" selected="0">
            <x v="4"/>
          </reference>
        </references>
      </pivotArea>
    </chartFormat>
    <chartFormat chart="16" format="11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7DCE3A-97C3-4B39-ACB8-BA3BAA7D52A6}" sourceName="Month">
  <pivotTables>
    <pivotTable tabId="11" name="PivotTable1"/>
  </pivotTables>
  <data>
    <tabular pivotCacheId="1559205812">
      <items count="13">
        <i x="0" s="1"/>
        <i x="12" s="1"/>
        <i x="4" s="1"/>
        <i x="8" s="1"/>
        <i x="10" s="1"/>
        <i x="9" s="1"/>
        <i x="3" s="1"/>
        <i x="2" s="1"/>
        <i x="11" s="1"/>
        <i x="1"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B8AE7AF-5460-4070-9CDE-47245601BBC0}"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A8EBD09-2D6F-4816-8A28-7406C1CB4787}" cache="Slicer_Month" caption="Month"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B5665-7FF5-4417-8742-664ED48D8D81}" name="Table1" displayName="Table1" ref="A1:I201" totalsRowShown="0" headerRowDxfId="13" dataDxfId="11" headerRowBorderDxfId="12" tableBorderDxfId="10" totalsRowBorderDxfId="9">
  <autoFilter ref="A1:I201" xr:uid="{AB74E020-DC35-441C-8D15-EC24AD79A55B}"/>
  <tableColumns count="9">
    <tableColumn id="1" xr3:uid="{A72B0802-A00D-4B51-967F-BC0BD07601C1}" name="Customer_ID" dataDxfId="8"/>
    <tableColumn id="2" xr3:uid="{8B22E0DE-AB9E-4BEF-A278-969C281876B4}" name="Customer_Name" dataDxfId="7"/>
    <tableColumn id="3" xr3:uid="{09CFB1BD-A597-41C0-AA6D-9A64C69D1398}" name="Region" dataDxfId="6"/>
    <tableColumn id="4" xr3:uid="{92091551-A04D-445C-AC3C-A2B7FE9CF6EB}" name="Product_Category" dataDxfId="5"/>
    <tableColumn id="5" xr3:uid="{8D368BB9-E90E-4E9C-B04F-4C2610D0B650}" name="Sales" dataDxfId="4"/>
    <tableColumn id="6" xr3:uid="{02A581C9-9CF0-4702-8E68-7FD195AB0D38}" name="Quantity" dataDxfId="3"/>
    <tableColumn id="7" xr3:uid="{DAA4854C-8328-41F9-B6F1-E7B4409D73A4}" name="Discount" dataDxfId="2"/>
    <tableColumn id="8" xr3:uid="{7B4A8703-5C9B-4D77-AA6A-FDFABBA880D6}" name="Order_Date" dataDxfId="1"/>
    <tableColumn id="9" xr3:uid="{7E35F42C-E0C2-4D75-B598-08CFD75E9BB0}" name="Profi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6AA0-288A-412E-846D-884BFB091B2A}">
  <dimension ref="A1:I18"/>
  <sheetViews>
    <sheetView workbookViewId="0">
      <selection activeCell="C30" sqref="C30"/>
    </sheetView>
  </sheetViews>
  <sheetFormatPr defaultColWidth="20" defaultRowHeight="14.4" x14ac:dyDescent="0.3"/>
  <sheetData>
    <row r="1" spans="1:9" x14ac:dyDescent="0.3">
      <c r="A1" t="s">
        <v>61</v>
      </c>
    </row>
    <row r="2" spans="1:9" ht="15" thickBot="1" x14ac:dyDescent="0.35"/>
    <row r="3" spans="1:9" x14ac:dyDescent="0.3">
      <c r="A3" s="4" t="s">
        <v>62</v>
      </c>
      <c r="B3" s="4"/>
    </row>
    <row r="4" spans="1:9" x14ac:dyDescent="0.3">
      <c r="A4" s="1" t="s">
        <v>63</v>
      </c>
      <c r="B4" s="1">
        <v>0.77340306414342619</v>
      </c>
    </row>
    <row r="5" spans="1:9" x14ac:dyDescent="0.3">
      <c r="A5" s="1" t="s">
        <v>64</v>
      </c>
      <c r="B5" s="1">
        <v>0.59815229962644056</v>
      </c>
    </row>
    <row r="6" spans="1:9" x14ac:dyDescent="0.3">
      <c r="A6" s="1" t="s">
        <v>65</v>
      </c>
      <c r="B6" s="1">
        <v>0.59612276578617007</v>
      </c>
    </row>
    <row r="7" spans="1:9" x14ac:dyDescent="0.3">
      <c r="A7" s="1" t="s">
        <v>47</v>
      </c>
      <c r="B7" s="1">
        <v>86.281230529665166</v>
      </c>
    </row>
    <row r="8" spans="1:9" ht="15" thickBot="1" x14ac:dyDescent="0.35">
      <c r="A8" s="2" t="s">
        <v>66</v>
      </c>
      <c r="B8" s="2">
        <v>200</v>
      </c>
    </row>
    <row r="10" spans="1:9" ht="15" thickBot="1" x14ac:dyDescent="0.35">
      <c r="A10" t="s">
        <v>67</v>
      </c>
    </row>
    <row r="11" spans="1:9" x14ac:dyDescent="0.3">
      <c r="A11" s="3"/>
      <c r="B11" s="3" t="s">
        <v>72</v>
      </c>
      <c r="C11" s="3" t="s">
        <v>73</v>
      </c>
      <c r="D11" s="3" t="s">
        <v>74</v>
      </c>
      <c r="E11" s="3" t="s">
        <v>75</v>
      </c>
      <c r="F11" s="3" t="s">
        <v>76</v>
      </c>
    </row>
    <row r="12" spans="1:9" x14ac:dyDescent="0.3">
      <c r="A12" s="1" t="s">
        <v>68</v>
      </c>
      <c r="B12" s="1">
        <v>1</v>
      </c>
      <c r="C12" s="1">
        <v>2194058.1833402822</v>
      </c>
      <c r="D12" s="1">
        <v>2194058.1833402822</v>
      </c>
      <c r="E12" s="1">
        <v>294.72398427548114</v>
      </c>
      <c r="F12" s="1">
        <v>4.6269367558910499E-41</v>
      </c>
    </row>
    <row r="13" spans="1:9" x14ac:dyDescent="0.3">
      <c r="A13" s="1" t="s">
        <v>69</v>
      </c>
      <c r="B13" s="1">
        <v>198</v>
      </c>
      <c r="C13" s="1">
        <v>1474001.2468592182</v>
      </c>
      <c r="D13" s="1">
        <v>7444.4507417132236</v>
      </c>
      <c r="E13" s="1"/>
      <c r="F13" s="1"/>
    </row>
    <row r="14" spans="1:9" ht="15" thickBot="1" x14ac:dyDescent="0.35">
      <c r="A14" s="2" t="s">
        <v>70</v>
      </c>
      <c r="B14" s="2">
        <v>199</v>
      </c>
      <c r="C14" s="2">
        <v>3668059.4301995002</v>
      </c>
      <c r="D14" s="2"/>
      <c r="E14" s="2"/>
      <c r="F14" s="2"/>
    </row>
    <row r="15" spans="1:9" ht="15" thickBot="1" x14ac:dyDescent="0.35"/>
    <row r="16" spans="1:9" x14ac:dyDescent="0.3">
      <c r="A16" s="3"/>
      <c r="B16" s="3" t="s">
        <v>77</v>
      </c>
      <c r="C16" s="3" t="s">
        <v>47</v>
      </c>
      <c r="D16" s="3" t="s">
        <v>78</v>
      </c>
      <c r="E16" s="3" t="s">
        <v>79</v>
      </c>
      <c r="F16" s="3" t="s">
        <v>80</v>
      </c>
      <c r="G16" s="3" t="s">
        <v>81</v>
      </c>
      <c r="H16" s="3" t="s">
        <v>82</v>
      </c>
      <c r="I16" s="3" t="s">
        <v>83</v>
      </c>
    </row>
    <row r="17" spans="1:9" x14ac:dyDescent="0.3">
      <c r="A17" s="1" t="s">
        <v>71</v>
      </c>
      <c r="B17" s="1">
        <v>-1.0315504901911368</v>
      </c>
      <c r="C17" s="1">
        <v>20.860617005445505</v>
      </c>
      <c r="D17" s="1">
        <v>-4.9449663445805959E-2</v>
      </c>
      <c r="E17" s="1">
        <v>0.96061079696907459</v>
      </c>
      <c r="F17" s="1">
        <v>-42.169051823378965</v>
      </c>
      <c r="G17" s="1">
        <v>40.105950842996691</v>
      </c>
      <c r="H17" s="1">
        <v>-42.169051823378965</v>
      </c>
      <c r="I17" s="1">
        <v>40.105950842996691</v>
      </c>
    </row>
    <row r="18" spans="1:9" ht="15" thickBot="1" x14ac:dyDescent="0.35">
      <c r="A18" s="2" t="s">
        <v>84</v>
      </c>
      <c r="B18" s="2">
        <v>0.35085598819512254</v>
      </c>
      <c r="C18" s="2">
        <v>2.0437188630135626E-2</v>
      </c>
      <c r="D18" s="2">
        <v>17.167527028535048</v>
      </c>
      <c r="E18" s="2">
        <v>4.6269367558907868E-41</v>
      </c>
      <c r="F18" s="2">
        <v>0.31055349501865764</v>
      </c>
      <c r="G18" s="2">
        <v>0.39115848137158743</v>
      </c>
      <c r="H18" s="2">
        <v>0.31055349501865764</v>
      </c>
      <c r="I18" s="2">
        <v>0.39115848137158743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78B0-004A-452E-89B7-D9F10580AE23}">
  <dimension ref="A3:G10"/>
  <sheetViews>
    <sheetView zoomScale="115" workbookViewId="0">
      <selection activeCell="N7" sqref="N7"/>
    </sheetView>
  </sheetViews>
  <sheetFormatPr defaultRowHeight="14.4" x14ac:dyDescent="0.3"/>
  <cols>
    <col min="1" max="1" width="12.5546875" bestFit="1" customWidth="1"/>
    <col min="2" max="2" width="15.5546875" bestFit="1" customWidth="1"/>
    <col min="3" max="3" width="9.33203125" bestFit="1" customWidth="1"/>
    <col min="4" max="4" width="10" bestFit="1" customWidth="1"/>
    <col min="5" max="5" width="9.33203125" bestFit="1" customWidth="1"/>
    <col min="6" max="6" width="13.5546875" bestFit="1" customWidth="1"/>
    <col min="7" max="7" width="10.77734375" bestFit="1" customWidth="1"/>
    <col min="9" max="9" width="10" customWidth="1"/>
  </cols>
  <sheetData>
    <row r="3" spans="1:7" x14ac:dyDescent="0.3">
      <c r="A3" s="5" t="s">
        <v>90</v>
      </c>
      <c r="B3" s="5" t="s">
        <v>89</v>
      </c>
    </row>
    <row r="4" spans="1:7" x14ac:dyDescent="0.3">
      <c r="A4" s="5" t="s">
        <v>87</v>
      </c>
      <c r="B4" t="s">
        <v>11</v>
      </c>
      <c r="C4" t="s">
        <v>13</v>
      </c>
      <c r="D4" t="s">
        <v>17</v>
      </c>
      <c r="E4" t="s">
        <v>21</v>
      </c>
      <c r="F4" t="s">
        <v>28</v>
      </c>
      <c r="G4" t="s">
        <v>88</v>
      </c>
    </row>
    <row r="5" spans="1:7" x14ac:dyDescent="0.3">
      <c r="A5" s="6" t="s">
        <v>25</v>
      </c>
      <c r="B5" s="7">
        <v>11297.150000000001</v>
      </c>
      <c r="C5" s="7">
        <v>12200.26</v>
      </c>
      <c r="D5" s="7">
        <v>6621.24</v>
      </c>
      <c r="E5" s="7">
        <v>4876.96</v>
      </c>
      <c r="F5" s="7">
        <v>8472.7199999999993</v>
      </c>
      <c r="G5" s="7">
        <v>43468.33</v>
      </c>
    </row>
    <row r="6" spans="1:7" x14ac:dyDescent="0.3">
      <c r="A6" s="6" t="s">
        <v>15</v>
      </c>
      <c r="B6" s="7">
        <v>11389.090000000002</v>
      </c>
      <c r="C6" s="7">
        <v>2401.4499999999998</v>
      </c>
      <c r="D6" s="7">
        <v>2869.54</v>
      </c>
      <c r="E6" s="7">
        <v>7592.3399999999992</v>
      </c>
      <c r="F6" s="7">
        <v>8189.2200000000012</v>
      </c>
      <c r="G6" s="7">
        <v>32441.640000000003</v>
      </c>
    </row>
    <row r="7" spans="1:7" x14ac:dyDescent="0.3">
      <c r="A7" s="6" t="s">
        <v>19</v>
      </c>
      <c r="B7" s="7">
        <v>8037.0100000000011</v>
      </c>
      <c r="C7" s="7">
        <v>8422.82</v>
      </c>
      <c r="D7" s="7">
        <v>8191.7099999999991</v>
      </c>
      <c r="E7" s="7">
        <v>6978.08</v>
      </c>
      <c r="F7" s="7">
        <v>3345.8</v>
      </c>
      <c r="G7" s="7">
        <v>34975.420000000006</v>
      </c>
    </row>
    <row r="8" spans="1:7" x14ac:dyDescent="0.3">
      <c r="A8" s="6" t="s">
        <v>16</v>
      </c>
      <c r="B8" s="7">
        <v>9588.0400000000009</v>
      </c>
      <c r="C8" s="7">
        <v>8393.630000000001</v>
      </c>
      <c r="D8" s="7">
        <v>11989.070000000003</v>
      </c>
      <c r="E8" s="7">
        <v>7982.73</v>
      </c>
      <c r="F8" s="7">
        <v>2295.3199999999997</v>
      </c>
      <c r="G8" s="7">
        <v>40248.79</v>
      </c>
    </row>
    <row r="9" spans="1:7" x14ac:dyDescent="0.3">
      <c r="A9" s="6" t="s">
        <v>10</v>
      </c>
      <c r="B9" s="7">
        <v>6691.17</v>
      </c>
      <c r="C9" s="7">
        <v>10509.429999999998</v>
      </c>
      <c r="D9" s="7">
        <v>11372.44</v>
      </c>
      <c r="E9" s="7">
        <v>9182.7800000000007</v>
      </c>
      <c r="F9" s="7">
        <v>6327.76</v>
      </c>
      <c r="G9" s="7">
        <v>44083.58</v>
      </c>
    </row>
    <row r="10" spans="1:7" x14ac:dyDescent="0.3">
      <c r="A10" s="6" t="s">
        <v>88</v>
      </c>
      <c r="B10" s="7">
        <v>47002.460000000006</v>
      </c>
      <c r="C10" s="7">
        <v>41927.589999999997</v>
      </c>
      <c r="D10" s="7">
        <v>41044</v>
      </c>
      <c r="E10" s="7">
        <v>36612.89</v>
      </c>
      <c r="F10" s="7">
        <v>28630.82</v>
      </c>
      <c r="G10" s="7">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B123-C7E7-45FE-BF82-A6EB2917E8DC}">
  <dimension ref="A1:N15"/>
  <sheetViews>
    <sheetView zoomScaleNormal="100" workbookViewId="0">
      <selection activeCell="F20" sqref="F20"/>
    </sheetView>
  </sheetViews>
  <sheetFormatPr defaultColWidth="15" defaultRowHeight="14.4" x14ac:dyDescent="0.3"/>
  <sheetData>
    <row r="1" spans="1:14" x14ac:dyDescent="0.3">
      <c r="A1" s="36" t="s">
        <v>4</v>
      </c>
      <c r="B1" s="37"/>
      <c r="C1" s="45"/>
      <c r="D1" s="36" t="s">
        <v>5</v>
      </c>
      <c r="E1" s="40"/>
      <c r="F1" s="46"/>
      <c r="G1" s="43" t="s">
        <v>6</v>
      </c>
      <c r="H1" s="43"/>
      <c r="I1" s="45"/>
      <c r="J1" s="44" t="s">
        <v>7</v>
      </c>
      <c r="K1" s="44"/>
      <c r="L1" s="45"/>
      <c r="M1" s="44" t="s">
        <v>8</v>
      </c>
      <c r="N1" s="44"/>
    </row>
    <row r="2" spans="1:14" ht="15" thickBot="1" x14ac:dyDescent="0.35">
      <c r="A2" s="38"/>
      <c r="B2" s="39"/>
      <c r="C2" s="45"/>
      <c r="D2" s="41"/>
      <c r="E2" s="42"/>
      <c r="F2" s="47"/>
      <c r="G2" s="43"/>
      <c r="H2" s="43"/>
      <c r="I2" s="48"/>
      <c r="J2" s="44"/>
      <c r="K2" s="44"/>
      <c r="L2" s="45"/>
      <c r="M2" s="44"/>
      <c r="N2" s="44"/>
    </row>
    <row r="3" spans="1:14" x14ac:dyDescent="0.3">
      <c r="A3" s="9" t="s">
        <v>48</v>
      </c>
      <c r="B3" s="9">
        <v>976.08879999999999</v>
      </c>
      <c r="D3" s="9" t="s">
        <v>48</v>
      </c>
      <c r="E3" s="9">
        <v>9.9949999999999992</v>
      </c>
      <c r="G3" s="10" t="s">
        <v>48</v>
      </c>
      <c r="H3" s="10">
        <v>9.7250000000000003E-2</v>
      </c>
      <c r="J3" s="9" t="s">
        <v>48</v>
      </c>
      <c r="K3" s="9">
        <v>45564.144999999997</v>
      </c>
      <c r="M3" s="9" t="s">
        <v>48</v>
      </c>
      <c r="N3" s="9">
        <v>341.43505000000005</v>
      </c>
    </row>
    <row r="4" spans="1:14" x14ac:dyDescent="0.3">
      <c r="A4" s="9" t="s">
        <v>47</v>
      </c>
      <c r="B4" s="9">
        <v>21.161850448978406</v>
      </c>
      <c r="D4" s="9" t="s">
        <v>47</v>
      </c>
      <c r="E4" s="9">
        <v>0.39927682743257598</v>
      </c>
      <c r="G4" s="10" t="s">
        <v>47</v>
      </c>
      <c r="H4" s="10">
        <v>5.1142413732752686E-3</v>
      </c>
      <c r="J4" s="9" t="s">
        <v>47</v>
      </c>
      <c r="K4" s="9">
        <v>7.9187976775702165</v>
      </c>
      <c r="M4" s="9" t="s">
        <v>47</v>
      </c>
      <c r="N4" s="9">
        <v>9.6001196472332531</v>
      </c>
    </row>
    <row r="5" spans="1:14" x14ac:dyDescent="0.3">
      <c r="A5" s="9" t="s">
        <v>49</v>
      </c>
      <c r="B5" s="9">
        <v>976.72</v>
      </c>
      <c r="D5" s="9" t="s">
        <v>49</v>
      </c>
      <c r="E5" s="9">
        <v>10</v>
      </c>
      <c r="G5" s="10" t="s">
        <v>49</v>
      </c>
      <c r="H5" s="10">
        <v>0.1</v>
      </c>
      <c r="J5" s="9" t="s">
        <v>49</v>
      </c>
      <c r="K5" s="9">
        <v>45564.5</v>
      </c>
      <c r="M5" s="9" t="s">
        <v>49</v>
      </c>
      <c r="N5" s="9">
        <v>332.255</v>
      </c>
    </row>
    <row r="6" spans="1:14" x14ac:dyDescent="0.3">
      <c r="A6" s="9" t="s">
        <v>50</v>
      </c>
      <c r="B6" s="9" t="e">
        <v>#N/A</v>
      </c>
      <c r="D6" s="9" t="s">
        <v>50</v>
      </c>
      <c r="E6" s="9">
        <v>8</v>
      </c>
      <c r="G6" s="10" t="s">
        <v>50</v>
      </c>
      <c r="H6" s="10">
        <v>0.2</v>
      </c>
      <c r="J6" s="9" t="s">
        <v>50</v>
      </c>
      <c r="K6" s="9">
        <v>45429</v>
      </c>
      <c r="M6" s="9" t="s">
        <v>50</v>
      </c>
      <c r="N6" s="9" t="e">
        <v>#N/A</v>
      </c>
    </row>
    <row r="7" spans="1:14" x14ac:dyDescent="0.3">
      <c r="A7" s="9" t="s">
        <v>51</v>
      </c>
      <c r="B7" s="9">
        <v>299.27375909856431</v>
      </c>
      <c r="D7" s="9" t="s">
        <v>51</v>
      </c>
      <c r="E7" s="9">
        <v>5.6466270449645082</v>
      </c>
      <c r="G7" s="10" t="s">
        <v>51</v>
      </c>
      <c r="H7" s="10">
        <v>7.232629511335488E-2</v>
      </c>
      <c r="J7" s="9" t="s">
        <v>51</v>
      </c>
      <c r="K7" s="9">
        <v>111.98871073308368</v>
      </c>
      <c r="M7" s="9" t="s">
        <v>51</v>
      </c>
      <c r="N7" s="9">
        <v>135.7661940552168</v>
      </c>
    </row>
    <row r="8" spans="1:14" x14ac:dyDescent="0.3">
      <c r="A8" s="9" t="s">
        <v>52</v>
      </c>
      <c r="B8" s="9">
        <v>89564.782884985514</v>
      </c>
      <c r="D8" s="9" t="s">
        <v>52</v>
      </c>
      <c r="E8" s="9">
        <v>31.884396984924617</v>
      </c>
      <c r="G8" s="10" t="s">
        <v>52</v>
      </c>
      <c r="H8" s="10">
        <v>5.2310929648241022E-3</v>
      </c>
      <c r="J8" s="9" t="s">
        <v>52</v>
      </c>
      <c r="K8" s="9">
        <v>12541.471331658293</v>
      </c>
      <c r="M8" s="9" t="s">
        <v>52</v>
      </c>
      <c r="N8" s="9">
        <v>18432.459448238787</v>
      </c>
    </row>
    <row r="9" spans="1:14" x14ac:dyDescent="0.3">
      <c r="A9" s="9" t="s">
        <v>53</v>
      </c>
      <c r="B9" s="9">
        <v>-8.8595231919740502E-2</v>
      </c>
      <c r="D9" s="9" t="s">
        <v>53</v>
      </c>
      <c r="E9" s="9">
        <v>-1.2091053826620759</v>
      </c>
      <c r="G9" s="10" t="s">
        <v>53</v>
      </c>
      <c r="H9" s="10">
        <v>-1.3257012415855784</v>
      </c>
      <c r="J9" s="9" t="s">
        <v>53</v>
      </c>
      <c r="K9" s="9">
        <v>-1.2820132193662439</v>
      </c>
      <c r="M9" s="9" t="s">
        <v>53</v>
      </c>
      <c r="N9" s="9">
        <v>0.26450643813582442</v>
      </c>
    </row>
    <row r="10" spans="1:14" x14ac:dyDescent="0.3">
      <c r="A10" s="9" t="s">
        <v>54</v>
      </c>
      <c r="B10" s="9">
        <v>0.14685796564193557</v>
      </c>
      <c r="D10" s="9" t="s">
        <v>54</v>
      </c>
      <c r="E10" s="9">
        <v>6.084586432077814E-2</v>
      </c>
      <c r="G10" s="10" t="s">
        <v>54</v>
      </c>
      <c r="H10" s="10">
        <v>9.6827385576684841E-2</v>
      </c>
      <c r="J10" s="9" t="s">
        <v>54</v>
      </c>
      <c r="K10" s="9">
        <v>6.0697356405978772E-2</v>
      </c>
      <c r="M10" s="9" t="s">
        <v>54</v>
      </c>
      <c r="N10" s="9">
        <v>0.57339636063424715</v>
      </c>
    </row>
    <row r="11" spans="1:14" x14ac:dyDescent="0.3">
      <c r="A11" s="9" t="s">
        <v>55</v>
      </c>
      <c r="B11" s="9">
        <v>1665.15</v>
      </c>
      <c r="D11" s="9" t="s">
        <v>55</v>
      </c>
      <c r="E11" s="9">
        <v>18</v>
      </c>
      <c r="G11" s="10" t="s">
        <v>55</v>
      </c>
      <c r="H11" s="10">
        <v>0.2</v>
      </c>
      <c r="J11" s="9" t="s">
        <v>55</v>
      </c>
      <c r="K11" s="9">
        <v>362</v>
      </c>
      <c r="M11" s="9" t="s">
        <v>55</v>
      </c>
      <c r="N11" s="9">
        <v>704.83</v>
      </c>
    </row>
    <row r="12" spans="1:14" x14ac:dyDescent="0.3">
      <c r="A12" s="9" t="s">
        <v>56</v>
      </c>
      <c r="B12" s="9">
        <v>258.51</v>
      </c>
      <c r="D12" s="9" t="s">
        <v>56</v>
      </c>
      <c r="E12" s="9">
        <v>1</v>
      </c>
      <c r="G12" s="10" t="s">
        <v>56</v>
      </c>
      <c r="H12" s="10">
        <v>0</v>
      </c>
      <c r="J12" s="9" t="s">
        <v>56</v>
      </c>
      <c r="K12" s="9">
        <v>45392</v>
      </c>
      <c r="M12" s="9" t="s">
        <v>56</v>
      </c>
      <c r="N12" s="9">
        <v>64.63</v>
      </c>
    </row>
    <row r="13" spans="1:14" x14ac:dyDescent="0.3">
      <c r="A13" s="9" t="s">
        <v>57</v>
      </c>
      <c r="B13" s="9">
        <v>1923.66</v>
      </c>
      <c r="D13" s="9" t="s">
        <v>57</v>
      </c>
      <c r="E13" s="9">
        <v>19</v>
      </c>
      <c r="G13" s="10" t="s">
        <v>57</v>
      </c>
      <c r="H13" s="10">
        <v>0.2</v>
      </c>
      <c r="J13" s="9" t="s">
        <v>57</v>
      </c>
      <c r="K13" s="9">
        <v>45754</v>
      </c>
      <c r="M13" s="9" t="s">
        <v>57</v>
      </c>
      <c r="N13" s="9">
        <v>769.46</v>
      </c>
    </row>
    <row r="14" spans="1:14" x14ac:dyDescent="0.3">
      <c r="A14" s="9" t="s">
        <v>58</v>
      </c>
      <c r="B14" s="9">
        <v>195217.75999999992</v>
      </c>
      <c r="D14" s="9" t="s">
        <v>58</v>
      </c>
      <c r="E14" s="9">
        <v>1999</v>
      </c>
      <c r="G14" s="10" t="s">
        <v>58</v>
      </c>
      <c r="H14" s="10">
        <v>19.45</v>
      </c>
      <c r="J14" s="9" t="s">
        <v>58</v>
      </c>
      <c r="K14" s="9">
        <v>9112829</v>
      </c>
      <c r="M14" s="9" t="s">
        <v>58</v>
      </c>
      <c r="N14" s="9">
        <v>68287.010000000009</v>
      </c>
    </row>
    <row r="15" spans="1:14" x14ac:dyDescent="0.3">
      <c r="A15" s="9" t="s">
        <v>59</v>
      </c>
      <c r="B15" s="9">
        <v>200</v>
      </c>
      <c r="D15" s="9" t="s">
        <v>59</v>
      </c>
      <c r="E15" s="9">
        <v>200</v>
      </c>
      <c r="G15" s="10" t="s">
        <v>59</v>
      </c>
      <c r="H15" s="10">
        <v>200</v>
      </c>
      <c r="J15" s="9" t="s">
        <v>59</v>
      </c>
      <c r="K15" s="9">
        <v>200</v>
      </c>
      <c r="M15" s="9" t="s">
        <v>59</v>
      </c>
      <c r="N15" s="9">
        <v>200</v>
      </c>
    </row>
  </sheetData>
  <mergeCells count="9">
    <mergeCell ref="A1:B2"/>
    <mergeCell ref="D1:E2"/>
    <mergeCell ref="G1:H2"/>
    <mergeCell ref="J1:K2"/>
    <mergeCell ref="M1:N2"/>
    <mergeCell ref="C1:C2"/>
    <mergeCell ref="F1:F2"/>
    <mergeCell ref="I1:I2"/>
    <mergeCell ref="L1: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E68B-C106-4E78-923E-8DDD077363E6}">
  <dimension ref="A1:W201"/>
  <sheetViews>
    <sheetView zoomScale="88" zoomScaleNormal="132" workbookViewId="0">
      <selection activeCell="U2" sqref="U2"/>
    </sheetView>
  </sheetViews>
  <sheetFormatPr defaultColWidth="16.88671875" defaultRowHeight="19.8" customHeight="1" x14ac:dyDescent="0.3"/>
  <cols>
    <col min="2" max="2" width="17" customWidth="1"/>
    <col min="4" max="4" width="17.88671875" customWidth="1"/>
    <col min="12" max="13" width="19.21875" customWidth="1"/>
    <col min="16" max="16" width="20.21875" customWidth="1"/>
  </cols>
  <sheetData>
    <row r="1" spans="1:23" ht="27" customHeight="1" x14ac:dyDescent="0.3">
      <c r="A1" s="13" t="s">
        <v>0</v>
      </c>
      <c r="B1" s="14" t="s">
        <v>1</v>
      </c>
      <c r="C1" s="14" t="s">
        <v>2</v>
      </c>
      <c r="D1" s="14" t="s">
        <v>3</v>
      </c>
      <c r="E1" s="14" t="s">
        <v>4</v>
      </c>
      <c r="F1" s="14" t="s">
        <v>5</v>
      </c>
      <c r="G1" s="14" t="s">
        <v>6</v>
      </c>
      <c r="H1" s="14" t="s">
        <v>7</v>
      </c>
      <c r="I1" s="15" t="s">
        <v>8</v>
      </c>
      <c r="J1" s="26" t="s">
        <v>46</v>
      </c>
      <c r="K1" s="27" t="s">
        <v>60</v>
      </c>
      <c r="L1" s="27" t="s">
        <v>295</v>
      </c>
      <c r="M1" s="27" t="s">
        <v>300</v>
      </c>
      <c r="N1" s="27" t="s">
        <v>297</v>
      </c>
      <c r="O1" s="27" t="s">
        <v>85</v>
      </c>
      <c r="P1" s="30" t="s">
        <v>86</v>
      </c>
      <c r="Q1" s="49" t="s">
        <v>291</v>
      </c>
      <c r="R1" s="50"/>
      <c r="S1" s="49" t="s">
        <v>294</v>
      </c>
      <c r="T1" s="49"/>
      <c r="U1" s="27" t="s">
        <v>299</v>
      </c>
      <c r="V1" s="27" t="s">
        <v>298</v>
      </c>
      <c r="W1" s="27" t="s">
        <v>292</v>
      </c>
    </row>
    <row r="2" spans="1:23" ht="22.2" customHeight="1" x14ac:dyDescent="0.3">
      <c r="A2" s="16" t="s">
        <v>91</v>
      </c>
      <c r="B2" s="17" t="s">
        <v>9</v>
      </c>
      <c r="C2" s="17" t="s">
        <v>10</v>
      </c>
      <c r="D2" s="17" t="s">
        <v>11</v>
      </c>
      <c r="E2" s="18">
        <v>1036.0899999999999</v>
      </c>
      <c r="F2" s="18">
        <v>4</v>
      </c>
      <c r="G2" s="18">
        <v>0.2</v>
      </c>
      <c r="H2" s="19">
        <v>45392</v>
      </c>
      <c r="I2" s="20">
        <v>331.55</v>
      </c>
      <c r="J2" s="12">
        <f>SUMIF($A:$A,A2,$E:$E)</f>
        <v>1036.0899999999999</v>
      </c>
      <c r="K2" s="11" t="str">
        <f>TEXT(H2, "MMM-YYYY")</f>
        <v>Apr-2024</v>
      </c>
      <c r="L2" s="11">
        <f>SUMIFS(E:E,K:K,"Apr-2024")</f>
        <v>19029.96</v>
      </c>
      <c r="M2" s="35">
        <v>45383</v>
      </c>
      <c r="N2" s="28" t="s">
        <v>296</v>
      </c>
      <c r="O2" s="29">
        <f ca="1">NOW()</f>
        <v>46112.465371412036</v>
      </c>
      <c r="P2" s="31" t="str">
        <f>INDEX($B$2:$B$200,MATCH(MAX($E$2:$E$200),$E$2:$E$200,0))</f>
        <v>James Wilson</v>
      </c>
      <c r="Q2" s="11" t="s">
        <v>292</v>
      </c>
      <c r="R2" s="31">
        <f>SUM(I2:I201)</f>
        <v>68287.010000000009</v>
      </c>
      <c r="S2" s="11"/>
      <c r="T2" s="11">
        <f>R4</f>
        <v>54629.608000000007</v>
      </c>
      <c r="U2" s="11">
        <f>SUM(E2:E201)</f>
        <v>195217.75999999992</v>
      </c>
      <c r="V2" s="11">
        <f>SUM(F2:F201)</f>
        <v>1999</v>
      </c>
      <c r="W2" s="11">
        <f>SUM(I2:I201)</f>
        <v>68287.010000000009</v>
      </c>
    </row>
    <row r="3" spans="1:23" ht="19.8" customHeight="1" x14ac:dyDescent="0.3">
      <c r="A3" s="16" t="s">
        <v>92</v>
      </c>
      <c r="B3" s="17" t="s">
        <v>12</v>
      </c>
      <c r="C3" s="17" t="s">
        <v>10</v>
      </c>
      <c r="D3" s="17" t="s">
        <v>13</v>
      </c>
      <c r="E3" s="18">
        <v>1101.28</v>
      </c>
      <c r="F3" s="18">
        <v>3</v>
      </c>
      <c r="G3" s="18">
        <v>0.2</v>
      </c>
      <c r="H3" s="19">
        <v>45393</v>
      </c>
      <c r="I3" s="20">
        <v>440.51</v>
      </c>
      <c r="J3" s="12">
        <f t="shared" ref="J3:J66" si="0">SUMIF($A:$A,A3,$E:$E)</f>
        <v>1101.28</v>
      </c>
      <c r="K3" s="11" t="str">
        <f t="shared" ref="K3:K66" si="1">TEXT(H3, "MMM-YYYY")</f>
        <v>Apr-2024</v>
      </c>
      <c r="L3" s="11">
        <f>SUMIFS(E:E,K:K,K27)</f>
        <v>18507.339999999997</v>
      </c>
      <c r="M3" s="35">
        <v>45413</v>
      </c>
      <c r="N3" s="11">
        <f t="shared" ref="N3:N14" si="2">L3-L2</f>
        <v>-522.62000000000262</v>
      </c>
      <c r="Q3" s="11" t="s">
        <v>6</v>
      </c>
      <c r="R3" s="33">
        <v>0.2</v>
      </c>
      <c r="S3" s="32">
        <v>0.1</v>
      </c>
      <c r="T3" s="11">
        <f t="dataTable" ref="T3:T11" dt2D="0" dtr="0" r1="R3"/>
        <v>61458.309000000008</v>
      </c>
    </row>
    <row r="4" spans="1:23" ht="19.8" customHeight="1" x14ac:dyDescent="0.3">
      <c r="A4" s="16" t="s">
        <v>93</v>
      </c>
      <c r="B4" s="17" t="s">
        <v>14</v>
      </c>
      <c r="C4" s="17" t="s">
        <v>15</v>
      </c>
      <c r="D4" s="17" t="s">
        <v>11</v>
      </c>
      <c r="E4" s="18">
        <v>713.34</v>
      </c>
      <c r="F4" s="18">
        <v>17</v>
      </c>
      <c r="G4" s="18">
        <v>0</v>
      </c>
      <c r="H4" s="19">
        <v>45396</v>
      </c>
      <c r="I4" s="20">
        <v>285.33999999999997</v>
      </c>
      <c r="J4" s="12">
        <f t="shared" si="0"/>
        <v>713.34</v>
      </c>
      <c r="K4" s="11" t="str">
        <f t="shared" si="1"/>
        <v>Apr-2024</v>
      </c>
      <c r="L4" s="11">
        <f>SUMIFS(E:E,K:K,K46)</f>
        <v>19346.659999999996</v>
      </c>
      <c r="M4" s="35">
        <v>45444</v>
      </c>
      <c r="N4" s="11">
        <f t="shared" si="2"/>
        <v>839.31999999999971</v>
      </c>
      <c r="Q4" s="11" t="s">
        <v>293</v>
      </c>
      <c r="R4" s="34">
        <f>R2*(1-R3)</f>
        <v>54629.608000000007</v>
      </c>
      <c r="S4" s="32">
        <v>0.2</v>
      </c>
      <c r="T4" s="11">
        <v>54629.608000000007</v>
      </c>
    </row>
    <row r="5" spans="1:23" ht="19.8" customHeight="1" x14ac:dyDescent="0.3">
      <c r="A5" s="16" t="s">
        <v>94</v>
      </c>
      <c r="B5" s="17" t="s">
        <v>12</v>
      </c>
      <c r="C5" s="17" t="s">
        <v>16</v>
      </c>
      <c r="D5" s="17" t="s">
        <v>17</v>
      </c>
      <c r="E5" s="18">
        <v>760.93</v>
      </c>
      <c r="F5" s="18">
        <v>4</v>
      </c>
      <c r="G5" s="18">
        <v>0.15</v>
      </c>
      <c r="H5" s="19">
        <v>45396</v>
      </c>
      <c r="I5" s="20">
        <v>161.69999999999999</v>
      </c>
      <c r="J5" s="12">
        <f t="shared" si="0"/>
        <v>760.93</v>
      </c>
      <c r="K5" s="11" t="str">
        <f t="shared" si="1"/>
        <v>Apr-2024</v>
      </c>
      <c r="L5" s="11">
        <f>SUMIFS(E:E,K:K,K62)</f>
        <v>11609.039999999999</v>
      </c>
      <c r="M5" s="35">
        <v>45474</v>
      </c>
      <c r="N5" s="11">
        <f t="shared" si="2"/>
        <v>-7737.6199999999972</v>
      </c>
      <c r="S5" s="32">
        <v>0.3</v>
      </c>
      <c r="T5" s="11">
        <v>47800.907000000007</v>
      </c>
    </row>
    <row r="6" spans="1:23" ht="19.8" customHeight="1" x14ac:dyDescent="0.3">
      <c r="A6" s="16" t="s">
        <v>95</v>
      </c>
      <c r="B6" s="17" t="s">
        <v>18</v>
      </c>
      <c r="C6" s="17" t="s">
        <v>19</v>
      </c>
      <c r="D6" s="17" t="s">
        <v>11</v>
      </c>
      <c r="E6" s="18">
        <v>847</v>
      </c>
      <c r="F6" s="18">
        <v>12</v>
      </c>
      <c r="G6" s="18">
        <v>0.2</v>
      </c>
      <c r="H6" s="19">
        <v>45397</v>
      </c>
      <c r="I6" s="20">
        <v>271.04000000000002</v>
      </c>
      <c r="J6" s="12">
        <f t="shared" si="0"/>
        <v>847</v>
      </c>
      <c r="K6" s="11" t="str">
        <f t="shared" si="1"/>
        <v>Apr-2024</v>
      </c>
      <c r="L6" s="11">
        <f>SUMIFS(E:E,K:K,K77)</f>
        <v>10091.699999999999</v>
      </c>
      <c r="M6" s="35">
        <v>45505</v>
      </c>
      <c r="N6" s="11">
        <f t="shared" si="2"/>
        <v>-1517.3400000000001</v>
      </c>
      <c r="S6" s="32">
        <v>0.4</v>
      </c>
      <c r="T6" s="11">
        <v>40972.206000000006</v>
      </c>
    </row>
    <row r="7" spans="1:23" ht="19.8" customHeight="1" x14ac:dyDescent="0.3">
      <c r="A7" s="16" t="s">
        <v>96</v>
      </c>
      <c r="B7" s="17" t="s">
        <v>20</v>
      </c>
      <c r="C7" s="17" t="s">
        <v>19</v>
      </c>
      <c r="D7" s="17" t="s">
        <v>21</v>
      </c>
      <c r="E7" s="18">
        <v>965.64</v>
      </c>
      <c r="F7" s="18">
        <v>8</v>
      </c>
      <c r="G7" s="18">
        <v>0.1</v>
      </c>
      <c r="H7" s="19">
        <v>45398</v>
      </c>
      <c r="I7" s="20">
        <v>304.18</v>
      </c>
      <c r="J7" s="12">
        <f t="shared" si="0"/>
        <v>965.64</v>
      </c>
      <c r="K7" s="11" t="str">
        <f t="shared" si="1"/>
        <v>Apr-2024</v>
      </c>
      <c r="L7" s="11">
        <f>SUMIFS(E:E,K:K,K88)</f>
        <v>20533.499999999996</v>
      </c>
      <c r="M7" s="35">
        <v>45536</v>
      </c>
      <c r="N7" s="11">
        <f t="shared" si="2"/>
        <v>10441.799999999997</v>
      </c>
      <c r="Q7" s="8"/>
      <c r="R7" s="8"/>
      <c r="S7" s="32">
        <v>0.5</v>
      </c>
      <c r="T7" s="11">
        <v>34143.505000000005</v>
      </c>
    </row>
    <row r="8" spans="1:23" ht="19.8" customHeight="1" x14ac:dyDescent="0.3">
      <c r="A8" s="16" t="s">
        <v>97</v>
      </c>
      <c r="B8" s="17" t="s">
        <v>22</v>
      </c>
      <c r="C8" s="17" t="s">
        <v>10</v>
      </c>
      <c r="D8" s="17" t="s">
        <v>17</v>
      </c>
      <c r="E8" s="18">
        <v>1317.53</v>
      </c>
      <c r="F8" s="18">
        <v>12</v>
      </c>
      <c r="G8" s="18">
        <v>0.05</v>
      </c>
      <c r="H8" s="19">
        <v>45398</v>
      </c>
      <c r="I8" s="20">
        <v>312.91000000000003</v>
      </c>
      <c r="J8" s="12">
        <f t="shared" si="0"/>
        <v>1317.53</v>
      </c>
      <c r="K8" s="11" t="str">
        <f t="shared" si="1"/>
        <v>Apr-2024</v>
      </c>
      <c r="L8" s="11">
        <f>SUMIFS(E:E,K:K,K105)</f>
        <v>14215.240000000002</v>
      </c>
      <c r="M8" s="35">
        <v>45566</v>
      </c>
      <c r="N8" s="11">
        <f t="shared" si="2"/>
        <v>-6318.2599999999948</v>
      </c>
      <c r="S8" s="32">
        <v>0.6</v>
      </c>
      <c r="T8" s="11">
        <v>27314.804000000004</v>
      </c>
    </row>
    <row r="9" spans="1:23" ht="19.8" customHeight="1" x14ac:dyDescent="0.3">
      <c r="A9" s="16" t="s">
        <v>98</v>
      </c>
      <c r="B9" s="17" t="s">
        <v>23</v>
      </c>
      <c r="C9" s="17" t="s">
        <v>15</v>
      </c>
      <c r="D9" s="17" t="s">
        <v>21</v>
      </c>
      <c r="E9" s="18">
        <v>1074.47</v>
      </c>
      <c r="F9" s="18">
        <v>6</v>
      </c>
      <c r="G9" s="18">
        <v>0.2</v>
      </c>
      <c r="H9" s="19">
        <v>45401</v>
      </c>
      <c r="I9" s="20">
        <v>300.85000000000002</v>
      </c>
      <c r="J9" s="12">
        <f t="shared" si="0"/>
        <v>1074.47</v>
      </c>
      <c r="K9" s="11" t="str">
        <f t="shared" si="1"/>
        <v>Apr-2024</v>
      </c>
      <c r="L9" s="11">
        <f>SUMIFS(E:E,K:K,K123)</f>
        <v>20135.030000000002</v>
      </c>
      <c r="M9" s="35">
        <v>45597</v>
      </c>
      <c r="N9" s="11">
        <f t="shared" si="2"/>
        <v>5919.7900000000009</v>
      </c>
      <c r="S9" s="32">
        <v>0.7</v>
      </c>
      <c r="T9" s="11">
        <v>20486.103000000006</v>
      </c>
    </row>
    <row r="10" spans="1:23" ht="19.8" customHeight="1" x14ac:dyDescent="0.3">
      <c r="A10" s="16" t="s">
        <v>99</v>
      </c>
      <c r="B10" s="17" t="s">
        <v>24</v>
      </c>
      <c r="C10" s="17" t="s">
        <v>25</v>
      </c>
      <c r="D10" s="17" t="s">
        <v>11</v>
      </c>
      <c r="E10" s="18">
        <v>501.54</v>
      </c>
      <c r="F10" s="18">
        <v>11</v>
      </c>
      <c r="G10" s="18">
        <v>0.05</v>
      </c>
      <c r="H10" s="19">
        <v>45401</v>
      </c>
      <c r="I10" s="20">
        <v>190.59</v>
      </c>
      <c r="J10" s="12">
        <f t="shared" si="0"/>
        <v>501.54</v>
      </c>
      <c r="K10" s="11" t="str">
        <f t="shared" si="1"/>
        <v>Apr-2024</v>
      </c>
      <c r="L10" s="11">
        <f>SUMIFS(E:E,K:K,K142)</f>
        <v>11120.04</v>
      </c>
      <c r="M10" s="35">
        <v>45627</v>
      </c>
      <c r="N10" s="11">
        <f t="shared" si="2"/>
        <v>-9014.9900000000016</v>
      </c>
      <c r="S10" s="32">
        <v>0.8</v>
      </c>
      <c r="T10" s="11">
        <v>13657.401999999998</v>
      </c>
    </row>
    <row r="11" spans="1:23" ht="19.8" customHeight="1" x14ac:dyDescent="0.3">
      <c r="A11" s="16" t="s">
        <v>100</v>
      </c>
      <c r="B11" s="17" t="s">
        <v>26</v>
      </c>
      <c r="C11" s="17" t="s">
        <v>25</v>
      </c>
      <c r="D11" s="17" t="s">
        <v>13</v>
      </c>
      <c r="E11" s="18">
        <v>737.31</v>
      </c>
      <c r="F11" s="18">
        <v>2</v>
      </c>
      <c r="G11" s="18">
        <v>0.05</v>
      </c>
      <c r="H11" s="19">
        <v>45401</v>
      </c>
      <c r="I11" s="20">
        <v>350.22</v>
      </c>
      <c r="J11" s="12">
        <f t="shared" si="0"/>
        <v>737.31</v>
      </c>
      <c r="K11" s="11" t="str">
        <f t="shared" si="1"/>
        <v>Apr-2024</v>
      </c>
      <c r="L11" s="11">
        <f>SUMIFS(E:E,K:K,K159)</f>
        <v>14914.650000000001</v>
      </c>
      <c r="M11" s="35">
        <v>45658</v>
      </c>
      <c r="N11" s="11">
        <f t="shared" si="2"/>
        <v>3794.6100000000006</v>
      </c>
      <c r="S11" s="32">
        <v>0.9</v>
      </c>
      <c r="T11" s="11">
        <v>6828.7009999999991</v>
      </c>
    </row>
    <row r="12" spans="1:23" ht="19.8" customHeight="1" x14ac:dyDescent="0.3">
      <c r="A12" s="16" t="s">
        <v>101</v>
      </c>
      <c r="B12" s="17" t="s">
        <v>27</v>
      </c>
      <c r="C12" s="17" t="s">
        <v>10</v>
      </c>
      <c r="D12" s="17" t="s">
        <v>28</v>
      </c>
      <c r="E12" s="18">
        <v>1572.82</v>
      </c>
      <c r="F12" s="18">
        <v>6</v>
      </c>
      <c r="G12" s="18">
        <v>0.05</v>
      </c>
      <c r="H12" s="19">
        <v>45402</v>
      </c>
      <c r="I12" s="20">
        <v>672.38</v>
      </c>
      <c r="J12" s="12">
        <f t="shared" si="0"/>
        <v>1572.82</v>
      </c>
      <c r="K12" s="11" t="str">
        <f t="shared" si="1"/>
        <v>Apr-2024</v>
      </c>
      <c r="L12" s="11">
        <f>SUMIFS(E:E,K:K,K176)</f>
        <v>14006.359999999999</v>
      </c>
      <c r="M12" s="35">
        <v>45689</v>
      </c>
      <c r="N12" s="11">
        <f t="shared" si="2"/>
        <v>-908.29000000000269</v>
      </c>
    </row>
    <row r="13" spans="1:23" ht="19.8" customHeight="1" x14ac:dyDescent="0.3">
      <c r="A13" s="16" t="s">
        <v>102</v>
      </c>
      <c r="B13" s="17" t="s">
        <v>26</v>
      </c>
      <c r="C13" s="17" t="s">
        <v>25</v>
      </c>
      <c r="D13" s="17" t="s">
        <v>11</v>
      </c>
      <c r="E13" s="18">
        <v>1343.13</v>
      </c>
      <c r="F13" s="18">
        <v>14</v>
      </c>
      <c r="G13" s="18">
        <v>0.15</v>
      </c>
      <c r="H13" s="19">
        <v>45404</v>
      </c>
      <c r="I13" s="20">
        <v>456.66</v>
      </c>
      <c r="J13" s="12">
        <f t="shared" si="0"/>
        <v>1343.13</v>
      </c>
      <c r="K13" s="11" t="str">
        <f t="shared" si="1"/>
        <v>Apr-2024</v>
      </c>
      <c r="L13" s="11">
        <f>SUMIFS(E:E,K:K,K185)</f>
        <v>17655.219999999998</v>
      </c>
      <c r="M13" s="35">
        <v>45717</v>
      </c>
      <c r="N13" s="11">
        <f t="shared" si="2"/>
        <v>3648.8599999999988</v>
      </c>
    </row>
    <row r="14" spans="1:23" ht="19.8" customHeight="1" x14ac:dyDescent="0.3">
      <c r="A14" s="16" t="s">
        <v>103</v>
      </c>
      <c r="B14" s="17" t="s">
        <v>20</v>
      </c>
      <c r="C14" s="17" t="s">
        <v>25</v>
      </c>
      <c r="D14" s="17" t="s">
        <v>11</v>
      </c>
      <c r="E14" s="18">
        <v>1191.58</v>
      </c>
      <c r="F14" s="18">
        <v>14</v>
      </c>
      <c r="G14" s="18">
        <v>0.05</v>
      </c>
      <c r="H14" s="19">
        <v>45406</v>
      </c>
      <c r="I14" s="20">
        <v>452.8</v>
      </c>
      <c r="J14" s="12">
        <f t="shared" si="0"/>
        <v>1191.58</v>
      </c>
      <c r="K14" s="11" t="str">
        <f t="shared" si="1"/>
        <v>Apr-2024</v>
      </c>
      <c r="L14" s="11">
        <f>SUMIFS(E:E,K:K,K199)</f>
        <v>3212.17</v>
      </c>
      <c r="M14" s="35">
        <v>45748</v>
      </c>
      <c r="N14" s="11">
        <f t="shared" si="2"/>
        <v>-14443.049999999997</v>
      </c>
    </row>
    <row r="15" spans="1:23" ht="19.8" customHeight="1" x14ac:dyDescent="0.3">
      <c r="A15" s="16" t="s">
        <v>104</v>
      </c>
      <c r="B15" s="17" t="s">
        <v>12</v>
      </c>
      <c r="C15" s="17" t="s">
        <v>10</v>
      </c>
      <c r="D15" s="17" t="s">
        <v>21</v>
      </c>
      <c r="E15" s="18">
        <v>822.28</v>
      </c>
      <c r="F15" s="18">
        <v>7</v>
      </c>
      <c r="G15" s="18">
        <v>0.05</v>
      </c>
      <c r="H15" s="19">
        <v>45406</v>
      </c>
      <c r="I15" s="20">
        <v>273.41000000000003</v>
      </c>
      <c r="J15" s="12">
        <f t="shared" si="0"/>
        <v>822.28</v>
      </c>
      <c r="K15" s="11" t="str">
        <f t="shared" si="1"/>
        <v>Apr-2024</v>
      </c>
    </row>
    <row r="16" spans="1:23" ht="19.8" customHeight="1" x14ac:dyDescent="0.3">
      <c r="A16" s="16" t="s">
        <v>105</v>
      </c>
      <c r="B16" s="17" t="s">
        <v>29</v>
      </c>
      <c r="C16" s="17" t="s">
        <v>19</v>
      </c>
      <c r="D16" s="17" t="s">
        <v>21</v>
      </c>
      <c r="E16" s="18">
        <v>521.66999999999996</v>
      </c>
      <c r="F16" s="18">
        <v>15</v>
      </c>
      <c r="G16" s="18">
        <v>0.15</v>
      </c>
      <c r="H16" s="19">
        <v>45409</v>
      </c>
      <c r="I16" s="20">
        <v>155.19999999999999</v>
      </c>
      <c r="J16" s="12">
        <f t="shared" si="0"/>
        <v>521.66999999999996</v>
      </c>
      <c r="K16" s="11" t="str">
        <f t="shared" si="1"/>
        <v>Apr-2024</v>
      </c>
    </row>
    <row r="17" spans="1:11" ht="19.8" customHeight="1" x14ac:dyDescent="0.3">
      <c r="A17" s="16" t="s">
        <v>106</v>
      </c>
      <c r="B17" s="17" t="s">
        <v>30</v>
      </c>
      <c r="C17" s="17" t="s">
        <v>16</v>
      </c>
      <c r="D17" s="17" t="s">
        <v>17</v>
      </c>
      <c r="E17" s="18">
        <v>1502.93</v>
      </c>
      <c r="F17" s="18">
        <v>14</v>
      </c>
      <c r="G17" s="18">
        <v>0.2</v>
      </c>
      <c r="H17" s="19">
        <v>45410</v>
      </c>
      <c r="I17" s="20">
        <v>300.58999999999997</v>
      </c>
      <c r="J17" s="12">
        <f t="shared" si="0"/>
        <v>1502.93</v>
      </c>
      <c r="K17" s="11" t="str">
        <f t="shared" si="1"/>
        <v>Apr-2024</v>
      </c>
    </row>
    <row r="18" spans="1:11" ht="19.8" customHeight="1" x14ac:dyDescent="0.3">
      <c r="A18" s="16" t="s">
        <v>107</v>
      </c>
      <c r="B18" s="17" t="s">
        <v>12</v>
      </c>
      <c r="C18" s="17" t="s">
        <v>16</v>
      </c>
      <c r="D18" s="17" t="s">
        <v>11</v>
      </c>
      <c r="E18" s="18">
        <v>877.58</v>
      </c>
      <c r="F18" s="18">
        <v>10</v>
      </c>
      <c r="G18" s="18">
        <v>0.15</v>
      </c>
      <c r="H18" s="19">
        <v>45411</v>
      </c>
      <c r="I18" s="20">
        <v>298.38</v>
      </c>
      <c r="J18" s="12">
        <f t="shared" si="0"/>
        <v>877.58</v>
      </c>
      <c r="K18" s="11" t="str">
        <f t="shared" si="1"/>
        <v>Apr-2024</v>
      </c>
    </row>
    <row r="19" spans="1:11" ht="19.8" customHeight="1" x14ac:dyDescent="0.3">
      <c r="A19" s="16" t="s">
        <v>108</v>
      </c>
      <c r="B19" s="17" t="s">
        <v>31</v>
      </c>
      <c r="C19" s="17" t="s">
        <v>10</v>
      </c>
      <c r="D19" s="17" t="s">
        <v>11</v>
      </c>
      <c r="E19" s="18">
        <v>636.70000000000005</v>
      </c>
      <c r="F19" s="18">
        <v>4</v>
      </c>
      <c r="G19" s="18">
        <v>0.2</v>
      </c>
      <c r="H19" s="19">
        <v>45411</v>
      </c>
      <c r="I19" s="20">
        <v>203.74</v>
      </c>
      <c r="J19" s="12">
        <f t="shared" si="0"/>
        <v>636.70000000000005</v>
      </c>
      <c r="K19" s="11" t="str">
        <f t="shared" si="1"/>
        <v>Apr-2024</v>
      </c>
    </row>
    <row r="20" spans="1:11" ht="19.8" customHeight="1" x14ac:dyDescent="0.3">
      <c r="A20" s="16" t="s">
        <v>109</v>
      </c>
      <c r="B20" s="17" t="s">
        <v>32</v>
      </c>
      <c r="C20" s="17" t="s">
        <v>10</v>
      </c>
      <c r="D20" s="17" t="s">
        <v>11</v>
      </c>
      <c r="E20" s="18">
        <v>1506.14</v>
      </c>
      <c r="F20" s="18">
        <v>13</v>
      </c>
      <c r="G20" s="18">
        <v>0.2</v>
      </c>
      <c r="H20" s="19">
        <v>45412</v>
      </c>
      <c r="I20" s="20">
        <v>481.96</v>
      </c>
      <c r="J20" s="12">
        <f t="shared" si="0"/>
        <v>1506.14</v>
      </c>
      <c r="K20" s="11" t="str">
        <f t="shared" si="1"/>
        <v>Apr-2024</v>
      </c>
    </row>
    <row r="21" spans="1:11" ht="19.8" customHeight="1" x14ac:dyDescent="0.3">
      <c r="A21" s="16" t="s">
        <v>110</v>
      </c>
      <c r="B21" s="17" t="s">
        <v>23</v>
      </c>
      <c r="C21" s="17" t="s">
        <v>25</v>
      </c>
      <c r="D21" s="17" t="s">
        <v>17</v>
      </c>
      <c r="E21" s="18">
        <v>645.02</v>
      </c>
      <c r="F21" s="18">
        <v>4</v>
      </c>
      <c r="G21" s="18">
        <v>0</v>
      </c>
      <c r="H21" s="19">
        <v>45414</v>
      </c>
      <c r="I21" s="20">
        <v>161.26</v>
      </c>
      <c r="J21" s="12">
        <f t="shared" si="0"/>
        <v>645.02</v>
      </c>
      <c r="K21" s="11" t="str">
        <f t="shared" si="1"/>
        <v>May-2024</v>
      </c>
    </row>
    <row r="22" spans="1:11" ht="19.8" customHeight="1" x14ac:dyDescent="0.3">
      <c r="A22" s="16" t="s">
        <v>111</v>
      </c>
      <c r="B22" s="17" t="s">
        <v>33</v>
      </c>
      <c r="C22" s="17" t="s">
        <v>16</v>
      </c>
      <c r="D22" s="17" t="s">
        <v>13</v>
      </c>
      <c r="E22" s="18">
        <v>953.3</v>
      </c>
      <c r="F22" s="18">
        <v>11</v>
      </c>
      <c r="G22" s="18">
        <v>0</v>
      </c>
      <c r="H22" s="19">
        <v>45415</v>
      </c>
      <c r="I22" s="20">
        <v>476.65</v>
      </c>
      <c r="J22" s="12">
        <f t="shared" si="0"/>
        <v>953.3</v>
      </c>
      <c r="K22" s="11" t="str">
        <f t="shared" si="1"/>
        <v>May-2024</v>
      </c>
    </row>
    <row r="23" spans="1:11" ht="19.8" customHeight="1" x14ac:dyDescent="0.3">
      <c r="A23" s="16" t="s">
        <v>112</v>
      </c>
      <c r="B23" s="17" t="s">
        <v>12</v>
      </c>
      <c r="C23" s="17" t="s">
        <v>19</v>
      </c>
      <c r="D23" s="17" t="s">
        <v>17</v>
      </c>
      <c r="E23" s="18">
        <v>388.56</v>
      </c>
      <c r="F23" s="18">
        <v>14</v>
      </c>
      <c r="G23" s="18">
        <v>0.15</v>
      </c>
      <c r="H23" s="19">
        <v>45416</v>
      </c>
      <c r="I23" s="20">
        <v>82.57</v>
      </c>
      <c r="J23" s="12">
        <f t="shared" si="0"/>
        <v>388.56</v>
      </c>
      <c r="K23" s="11" t="str">
        <f t="shared" si="1"/>
        <v>May-2024</v>
      </c>
    </row>
    <row r="24" spans="1:11" ht="19.8" customHeight="1" x14ac:dyDescent="0.3">
      <c r="A24" s="16" t="s">
        <v>113</v>
      </c>
      <c r="B24" s="17" t="s">
        <v>23</v>
      </c>
      <c r="C24" s="17" t="s">
        <v>10</v>
      </c>
      <c r="D24" s="17" t="s">
        <v>11</v>
      </c>
      <c r="E24" s="18">
        <v>743.17</v>
      </c>
      <c r="F24" s="18">
        <v>9</v>
      </c>
      <c r="G24" s="18">
        <v>0</v>
      </c>
      <c r="H24" s="19">
        <v>45416</v>
      </c>
      <c r="I24" s="20">
        <v>297.27</v>
      </c>
      <c r="J24" s="12">
        <f t="shared" si="0"/>
        <v>743.17</v>
      </c>
      <c r="K24" s="11" t="str">
        <f t="shared" si="1"/>
        <v>May-2024</v>
      </c>
    </row>
    <row r="25" spans="1:11" ht="19.8" customHeight="1" x14ac:dyDescent="0.3">
      <c r="A25" s="16" t="s">
        <v>114</v>
      </c>
      <c r="B25" s="17" t="s">
        <v>23</v>
      </c>
      <c r="C25" s="17" t="s">
        <v>25</v>
      </c>
      <c r="D25" s="17" t="s">
        <v>17</v>
      </c>
      <c r="E25" s="18">
        <v>706.37</v>
      </c>
      <c r="F25" s="18">
        <v>6</v>
      </c>
      <c r="G25" s="18">
        <v>0</v>
      </c>
      <c r="H25" s="19">
        <v>45416</v>
      </c>
      <c r="I25" s="20">
        <v>176.59</v>
      </c>
      <c r="J25" s="12">
        <f t="shared" si="0"/>
        <v>706.37</v>
      </c>
      <c r="K25" s="11" t="str">
        <f t="shared" si="1"/>
        <v>May-2024</v>
      </c>
    </row>
    <row r="26" spans="1:11" ht="19.8" customHeight="1" x14ac:dyDescent="0.3">
      <c r="A26" s="16" t="s">
        <v>115</v>
      </c>
      <c r="B26" s="17" t="s">
        <v>23</v>
      </c>
      <c r="C26" s="17" t="s">
        <v>25</v>
      </c>
      <c r="D26" s="17" t="s">
        <v>28</v>
      </c>
      <c r="E26" s="18">
        <v>925.31</v>
      </c>
      <c r="F26" s="18">
        <v>8</v>
      </c>
      <c r="G26" s="18">
        <v>0.1</v>
      </c>
      <c r="H26" s="19">
        <v>45418</v>
      </c>
      <c r="I26" s="20">
        <v>374.75</v>
      </c>
      <c r="J26" s="12">
        <f t="shared" si="0"/>
        <v>925.31</v>
      </c>
      <c r="K26" s="11" t="str">
        <f t="shared" si="1"/>
        <v>May-2024</v>
      </c>
    </row>
    <row r="27" spans="1:11" ht="19.8" customHeight="1" x14ac:dyDescent="0.3">
      <c r="A27" s="16" t="s">
        <v>116</v>
      </c>
      <c r="B27" s="17" t="s">
        <v>34</v>
      </c>
      <c r="C27" s="17" t="s">
        <v>16</v>
      </c>
      <c r="D27" s="17" t="s">
        <v>17</v>
      </c>
      <c r="E27" s="18">
        <v>1173.1199999999999</v>
      </c>
      <c r="F27" s="18">
        <v>18</v>
      </c>
      <c r="G27" s="18">
        <v>0</v>
      </c>
      <c r="H27" s="19">
        <v>45418</v>
      </c>
      <c r="I27" s="20">
        <v>293.27999999999997</v>
      </c>
      <c r="J27" s="12">
        <f t="shared" si="0"/>
        <v>1173.1199999999999</v>
      </c>
      <c r="K27" s="11" t="str">
        <f t="shared" si="1"/>
        <v>May-2024</v>
      </c>
    </row>
    <row r="28" spans="1:11" ht="19.8" customHeight="1" x14ac:dyDescent="0.3">
      <c r="A28" s="16" t="s">
        <v>117</v>
      </c>
      <c r="B28" s="17" t="s">
        <v>35</v>
      </c>
      <c r="C28" s="17" t="s">
        <v>19</v>
      </c>
      <c r="D28" s="17" t="s">
        <v>21</v>
      </c>
      <c r="E28" s="18">
        <v>675.54</v>
      </c>
      <c r="F28" s="18">
        <v>17</v>
      </c>
      <c r="G28" s="18">
        <v>0</v>
      </c>
      <c r="H28" s="19">
        <v>45420</v>
      </c>
      <c r="I28" s="20">
        <v>236.44</v>
      </c>
      <c r="J28" s="12">
        <f t="shared" si="0"/>
        <v>675.54</v>
      </c>
      <c r="K28" s="11" t="str">
        <f t="shared" si="1"/>
        <v>May-2024</v>
      </c>
    </row>
    <row r="29" spans="1:11" ht="19.8" customHeight="1" x14ac:dyDescent="0.3">
      <c r="A29" s="16" t="s">
        <v>118</v>
      </c>
      <c r="B29" s="17" t="s">
        <v>12</v>
      </c>
      <c r="C29" s="17" t="s">
        <v>25</v>
      </c>
      <c r="D29" s="17" t="s">
        <v>11</v>
      </c>
      <c r="E29" s="18">
        <v>939.09</v>
      </c>
      <c r="F29" s="18">
        <v>2</v>
      </c>
      <c r="G29" s="18">
        <v>0.05</v>
      </c>
      <c r="H29" s="19">
        <v>45422</v>
      </c>
      <c r="I29" s="20">
        <v>356.85</v>
      </c>
      <c r="J29" s="12">
        <f t="shared" si="0"/>
        <v>939.09</v>
      </c>
      <c r="K29" s="11" t="str">
        <f t="shared" si="1"/>
        <v>May-2024</v>
      </c>
    </row>
    <row r="30" spans="1:11" ht="19.8" customHeight="1" x14ac:dyDescent="0.3">
      <c r="A30" s="16" t="s">
        <v>119</v>
      </c>
      <c r="B30" s="17" t="s">
        <v>36</v>
      </c>
      <c r="C30" s="17" t="s">
        <v>15</v>
      </c>
      <c r="D30" s="17" t="s">
        <v>28</v>
      </c>
      <c r="E30" s="18">
        <v>983.34</v>
      </c>
      <c r="F30" s="18">
        <v>19</v>
      </c>
      <c r="G30" s="18">
        <v>0.1</v>
      </c>
      <c r="H30" s="19">
        <v>45426</v>
      </c>
      <c r="I30" s="20">
        <v>398.25</v>
      </c>
      <c r="J30" s="12">
        <f t="shared" si="0"/>
        <v>983.34</v>
      </c>
      <c r="K30" s="11" t="str">
        <f t="shared" si="1"/>
        <v>May-2024</v>
      </c>
    </row>
    <row r="31" spans="1:11" ht="19.8" customHeight="1" x14ac:dyDescent="0.3">
      <c r="A31" s="16" t="s">
        <v>120</v>
      </c>
      <c r="B31" s="17" t="s">
        <v>18</v>
      </c>
      <c r="C31" s="17" t="s">
        <v>16</v>
      </c>
      <c r="D31" s="17" t="s">
        <v>17</v>
      </c>
      <c r="E31" s="18">
        <v>801.21</v>
      </c>
      <c r="F31" s="18">
        <v>3</v>
      </c>
      <c r="G31" s="18">
        <v>0.2</v>
      </c>
      <c r="H31" s="19">
        <v>45426</v>
      </c>
      <c r="I31" s="20">
        <v>160.24</v>
      </c>
      <c r="J31" s="12">
        <f t="shared" si="0"/>
        <v>801.21</v>
      </c>
      <c r="K31" s="11" t="str">
        <f t="shared" si="1"/>
        <v>May-2024</v>
      </c>
    </row>
    <row r="32" spans="1:11" ht="19.8" customHeight="1" x14ac:dyDescent="0.3">
      <c r="A32" s="16" t="s">
        <v>121</v>
      </c>
      <c r="B32" s="17" t="s">
        <v>37</v>
      </c>
      <c r="C32" s="17" t="s">
        <v>19</v>
      </c>
      <c r="D32" s="17" t="s">
        <v>17</v>
      </c>
      <c r="E32" s="18">
        <v>1450.71</v>
      </c>
      <c r="F32" s="18">
        <v>5</v>
      </c>
      <c r="G32" s="18">
        <v>0.1</v>
      </c>
      <c r="H32" s="19">
        <v>45427</v>
      </c>
      <c r="I32" s="20">
        <v>326.41000000000003</v>
      </c>
      <c r="J32" s="12">
        <f t="shared" si="0"/>
        <v>1450.71</v>
      </c>
      <c r="K32" s="11" t="str">
        <f t="shared" si="1"/>
        <v>May-2024</v>
      </c>
    </row>
    <row r="33" spans="1:11" ht="19.8" customHeight="1" x14ac:dyDescent="0.3">
      <c r="A33" s="16" t="s">
        <v>122</v>
      </c>
      <c r="B33" s="17" t="s">
        <v>38</v>
      </c>
      <c r="C33" s="17" t="s">
        <v>25</v>
      </c>
      <c r="D33" s="17" t="s">
        <v>11</v>
      </c>
      <c r="E33" s="18">
        <v>1023.21</v>
      </c>
      <c r="F33" s="18">
        <v>18</v>
      </c>
      <c r="G33" s="18">
        <v>0.05</v>
      </c>
      <c r="H33" s="19">
        <v>45428</v>
      </c>
      <c r="I33" s="20">
        <v>388.82</v>
      </c>
      <c r="J33" s="12">
        <f t="shared" si="0"/>
        <v>1023.21</v>
      </c>
      <c r="K33" s="11" t="str">
        <f t="shared" si="1"/>
        <v>May-2024</v>
      </c>
    </row>
    <row r="34" spans="1:11" ht="19.8" customHeight="1" x14ac:dyDescent="0.3">
      <c r="A34" s="16" t="s">
        <v>123</v>
      </c>
      <c r="B34" s="17" t="s">
        <v>32</v>
      </c>
      <c r="C34" s="17" t="s">
        <v>10</v>
      </c>
      <c r="D34" s="17" t="s">
        <v>21</v>
      </c>
      <c r="E34" s="18">
        <v>853.72</v>
      </c>
      <c r="F34" s="18">
        <v>5</v>
      </c>
      <c r="G34" s="18">
        <v>0.15</v>
      </c>
      <c r="H34" s="19">
        <v>45428</v>
      </c>
      <c r="I34" s="20">
        <v>253.98</v>
      </c>
      <c r="J34" s="12">
        <f t="shared" si="0"/>
        <v>853.72</v>
      </c>
      <c r="K34" s="11" t="str">
        <f t="shared" si="1"/>
        <v>May-2024</v>
      </c>
    </row>
    <row r="35" spans="1:11" ht="19.8" customHeight="1" x14ac:dyDescent="0.3">
      <c r="A35" s="16" t="s">
        <v>124</v>
      </c>
      <c r="B35" s="17" t="s">
        <v>30</v>
      </c>
      <c r="C35" s="17" t="s">
        <v>16</v>
      </c>
      <c r="D35" s="17" t="s">
        <v>17</v>
      </c>
      <c r="E35" s="18">
        <v>967.89</v>
      </c>
      <c r="F35" s="18">
        <v>10</v>
      </c>
      <c r="G35" s="18">
        <v>0.1</v>
      </c>
      <c r="H35" s="19">
        <v>45429</v>
      </c>
      <c r="I35" s="20">
        <v>217.78</v>
      </c>
      <c r="J35" s="12">
        <f t="shared" si="0"/>
        <v>967.89</v>
      </c>
      <c r="K35" s="11" t="str">
        <f t="shared" si="1"/>
        <v>May-2024</v>
      </c>
    </row>
    <row r="36" spans="1:11" ht="19.8" customHeight="1" x14ac:dyDescent="0.3">
      <c r="A36" s="16" t="s">
        <v>125</v>
      </c>
      <c r="B36" s="17" t="s">
        <v>36</v>
      </c>
      <c r="C36" s="17" t="s">
        <v>19</v>
      </c>
      <c r="D36" s="17" t="s">
        <v>28</v>
      </c>
      <c r="E36" s="18">
        <v>1200.9000000000001</v>
      </c>
      <c r="F36" s="18">
        <v>14</v>
      </c>
      <c r="G36" s="18">
        <v>0.05</v>
      </c>
      <c r="H36" s="19">
        <v>45429</v>
      </c>
      <c r="I36" s="20">
        <v>513.38</v>
      </c>
      <c r="J36" s="12">
        <f t="shared" si="0"/>
        <v>1200.9000000000001</v>
      </c>
      <c r="K36" s="11" t="str">
        <f t="shared" si="1"/>
        <v>May-2024</v>
      </c>
    </row>
    <row r="37" spans="1:11" ht="19.8" customHeight="1" x14ac:dyDescent="0.3">
      <c r="A37" s="16" t="s">
        <v>126</v>
      </c>
      <c r="B37" s="17" t="s">
        <v>20</v>
      </c>
      <c r="C37" s="17" t="s">
        <v>10</v>
      </c>
      <c r="D37" s="17" t="s">
        <v>11</v>
      </c>
      <c r="E37" s="18">
        <v>472.38</v>
      </c>
      <c r="F37" s="18">
        <v>12</v>
      </c>
      <c r="G37" s="18">
        <v>0.2</v>
      </c>
      <c r="H37" s="19">
        <v>45429</v>
      </c>
      <c r="I37" s="20">
        <v>151.16</v>
      </c>
      <c r="J37" s="12">
        <f t="shared" si="0"/>
        <v>472.38</v>
      </c>
      <c r="K37" s="11" t="str">
        <f t="shared" si="1"/>
        <v>May-2024</v>
      </c>
    </row>
    <row r="38" spans="1:11" ht="19.8" customHeight="1" x14ac:dyDescent="0.3">
      <c r="A38" s="16" t="s">
        <v>127</v>
      </c>
      <c r="B38" s="17" t="s">
        <v>37</v>
      </c>
      <c r="C38" s="17" t="s">
        <v>15</v>
      </c>
      <c r="D38" s="17" t="s">
        <v>28</v>
      </c>
      <c r="E38" s="18">
        <v>840.92</v>
      </c>
      <c r="F38" s="18">
        <v>9</v>
      </c>
      <c r="G38" s="18">
        <v>0.05</v>
      </c>
      <c r="H38" s="19">
        <v>45429</v>
      </c>
      <c r="I38" s="20">
        <v>359.49</v>
      </c>
      <c r="J38" s="12">
        <f t="shared" si="0"/>
        <v>840.92</v>
      </c>
      <c r="K38" s="11" t="str">
        <f t="shared" si="1"/>
        <v>May-2024</v>
      </c>
    </row>
    <row r="39" spans="1:11" ht="19.8" customHeight="1" x14ac:dyDescent="0.3">
      <c r="A39" s="16" t="s">
        <v>128</v>
      </c>
      <c r="B39" s="17" t="s">
        <v>33</v>
      </c>
      <c r="C39" s="17" t="s">
        <v>25</v>
      </c>
      <c r="D39" s="17" t="s">
        <v>21</v>
      </c>
      <c r="E39" s="18">
        <v>1410.06</v>
      </c>
      <c r="F39" s="18">
        <v>11</v>
      </c>
      <c r="G39" s="18">
        <v>0.05</v>
      </c>
      <c r="H39" s="19">
        <v>45434</v>
      </c>
      <c r="I39" s="20">
        <v>468.84</v>
      </c>
      <c r="J39" s="12">
        <f t="shared" si="0"/>
        <v>1410.06</v>
      </c>
      <c r="K39" s="11" t="str">
        <f t="shared" si="1"/>
        <v>May-2024</v>
      </c>
    </row>
    <row r="40" spans="1:11" ht="19.8" customHeight="1" x14ac:dyDescent="0.3">
      <c r="A40" s="16" t="s">
        <v>129</v>
      </c>
      <c r="B40" s="17" t="s">
        <v>39</v>
      </c>
      <c r="C40" s="17" t="s">
        <v>25</v>
      </c>
      <c r="D40" s="17" t="s">
        <v>21</v>
      </c>
      <c r="E40" s="18">
        <v>773.09</v>
      </c>
      <c r="F40" s="18">
        <v>13</v>
      </c>
      <c r="G40" s="18">
        <v>0.15</v>
      </c>
      <c r="H40" s="19">
        <v>45434</v>
      </c>
      <c r="I40" s="20">
        <v>229.99</v>
      </c>
      <c r="J40" s="12">
        <f t="shared" si="0"/>
        <v>773.09</v>
      </c>
      <c r="K40" s="11" t="str">
        <f t="shared" si="1"/>
        <v>May-2024</v>
      </c>
    </row>
    <row r="41" spans="1:11" ht="19.8" customHeight="1" x14ac:dyDescent="0.3">
      <c r="A41" s="16" t="s">
        <v>130</v>
      </c>
      <c r="B41" s="17" t="s">
        <v>40</v>
      </c>
      <c r="C41" s="17" t="s">
        <v>15</v>
      </c>
      <c r="D41" s="17" t="s">
        <v>11</v>
      </c>
      <c r="E41" s="18">
        <v>580.42999999999995</v>
      </c>
      <c r="F41" s="18">
        <v>19</v>
      </c>
      <c r="G41" s="18">
        <v>0.15</v>
      </c>
      <c r="H41" s="19">
        <v>45435</v>
      </c>
      <c r="I41" s="20">
        <v>197.35</v>
      </c>
      <c r="J41" s="12">
        <f t="shared" si="0"/>
        <v>580.42999999999995</v>
      </c>
      <c r="K41" s="11" t="str">
        <f t="shared" si="1"/>
        <v>May-2024</v>
      </c>
    </row>
    <row r="42" spans="1:11" ht="19.8" customHeight="1" x14ac:dyDescent="0.3">
      <c r="A42" s="16" t="s">
        <v>131</v>
      </c>
      <c r="B42" s="17" t="s">
        <v>29</v>
      </c>
      <c r="C42" s="17" t="s">
        <v>16</v>
      </c>
      <c r="D42" s="17" t="s">
        <v>11</v>
      </c>
      <c r="E42" s="18">
        <v>1151.21</v>
      </c>
      <c r="F42" s="18">
        <v>15</v>
      </c>
      <c r="G42" s="18">
        <v>0.1</v>
      </c>
      <c r="H42" s="19">
        <v>45445</v>
      </c>
      <c r="I42" s="20">
        <v>414.44</v>
      </c>
      <c r="J42" s="12">
        <f t="shared" si="0"/>
        <v>1151.21</v>
      </c>
      <c r="K42" s="11" t="str">
        <f t="shared" si="1"/>
        <v>Jun-2024</v>
      </c>
    </row>
    <row r="43" spans="1:11" ht="19.8" customHeight="1" x14ac:dyDescent="0.3">
      <c r="A43" s="16" t="s">
        <v>132</v>
      </c>
      <c r="B43" s="17" t="s">
        <v>18</v>
      </c>
      <c r="C43" s="17" t="s">
        <v>25</v>
      </c>
      <c r="D43" s="17" t="s">
        <v>28</v>
      </c>
      <c r="E43" s="18">
        <v>1025.98</v>
      </c>
      <c r="F43" s="18">
        <v>5</v>
      </c>
      <c r="G43" s="18">
        <v>0.2</v>
      </c>
      <c r="H43" s="19">
        <v>45447</v>
      </c>
      <c r="I43" s="20">
        <v>369.35</v>
      </c>
      <c r="J43" s="12">
        <f t="shared" si="0"/>
        <v>1025.98</v>
      </c>
      <c r="K43" s="11" t="str">
        <f t="shared" si="1"/>
        <v>Jun-2024</v>
      </c>
    </row>
    <row r="44" spans="1:11" ht="19.8" customHeight="1" x14ac:dyDescent="0.3">
      <c r="A44" s="16" t="s">
        <v>133</v>
      </c>
      <c r="B44" s="17" t="s">
        <v>38</v>
      </c>
      <c r="C44" s="17" t="s">
        <v>15</v>
      </c>
      <c r="D44" s="17" t="s">
        <v>28</v>
      </c>
      <c r="E44" s="18">
        <v>556.41999999999996</v>
      </c>
      <c r="F44" s="18">
        <v>11</v>
      </c>
      <c r="G44" s="18">
        <v>0.15</v>
      </c>
      <c r="H44" s="19">
        <v>45447</v>
      </c>
      <c r="I44" s="20">
        <v>212.83</v>
      </c>
      <c r="J44" s="12">
        <f t="shared" si="0"/>
        <v>556.41999999999996</v>
      </c>
      <c r="K44" s="11" t="str">
        <f t="shared" si="1"/>
        <v>Jun-2024</v>
      </c>
    </row>
    <row r="45" spans="1:11" ht="19.8" customHeight="1" x14ac:dyDescent="0.3">
      <c r="A45" s="16" t="s">
        <v>134</v>
      </c>
      <c r="B45" s="17" t="s">
        <v>18</v>
      </c>
      <c r="C45" s="17" t="s">
        <v>25</v>
      </c>
      <c r="D45" s="17" t="s">
        <v>11</v>
      </c>
      <c r="E45" s="18">
        <v>840.85</v>
      </c>
      <c r="F45" s="18">
        <v>19</v>
      </c>
      <c r="G45" s="18">
        <v>0.1</v>
      </c>
      <c r="H45" s="19" t="s">
        <v>301</v>
      </c>
      <c r="I45" s="20">
        <v>302.70999999999998</v>
      </c>
      <c r="J45" s="12">
        <f t="shared" si="0"/>
        <v>840.85</v>
      </c>
      <c r="K45" s="11" t="str">
        <f t="shared" si="1"/>
        <v>;</v>
      </c>
    </row>
    <row r="46" spans="1:11" ht="19.8" customHeight="1" x14ac:dyDescent="0.3">
      <c r="A46" s="16" t="s">
        <v>135</v>
      </c>
      <c r="B46" s="17" t="s">
        <v>40</v>
      </c>
      <c r="C46" s="17" t="s">
        <v>19</v>
      </c>
      <c r="D46" s="17" t="s">
        <v>21</v>
      </c>
      <c r="E46" s="18">
        <v>1227.25</v>
      </c>
      <c r="F46" s="18">
        <v>12</v>
      </c>
      <c r="G46" s="18">
        <v>0.15</v>
      </c>
      <c r="H46" s="19">
        <v>45448</v>
      </c>
      <c r="I46" s="20">
        <v>365.11</v>
      </c>
      <c r="J46" s="12">
        <f t="shared" si="0"/>
        <v>1227.25</v>
      </c>
      <c r="K46" s="11" t="str">
        <f t="shared" si="1"/>
        <v>Jun-2024</v>
      </c>
    </row>
    <row r="47" spans="1:11" ht="19.8" customHeight="1" x14ac:dyDescent="0.3">
      <c r="A47" s="16" t="s">
        <v>136</v>
      </c>
      <c r="B47" s="17" t="s">
        <v>41</v>
      </c>
      <c r="C47" s="17" t="s">
        <v>25</v>
      </c>
      <c r="D47" s="17" t="s">
        <v>17</v>
      </c>
      <c r="E47" s="18">
        <v>856.7</v>
      </c>
      <c r="F47" s="18">
        <v>2</v>
      </c>
      <c r="G47" s="18">
        <v>0</v>
      </c>
      <c r="H47" s="19">
        <v>45449</v>
      </c>
      <c r="I47" s="20">
        <v>214.18</v>
      </c>
      <c r="J47" s="12">
        <f t="shared" si="0"/>
        <v>856.7</v>
      </c>
      <c r="K47" s="11" t="str">
        <f t="shared" si="1"/>
        <v>Jun-2024</v>
      </c>
    </row>
    <row r="48" spans="1:11" ht="19.8" customHeight="1" x14ac:dyDescent="0.3">
      <c r="A48" s="16" t="s">
        <v>137</v>
      </c>
      <c r="B48" s="17" t="s">
        <v>38</v>
      </c>
      <c r="C48" s="17" t="s">
        <v>25</v>
      </c>
      <c r="D48" s="17" t="s">
        <v>28</v>
      </c>
      <c r="E48" s="18">
        <v>1225.42</v>
      </c>
      <c r="F48" s="18">
        <v>8</v>
      </c>
      <c r="G48" s="18">
        <v>0.15</v>
      </c>
      <c r="H48" s="19">
        <v>45449</v>
      </c>
      <c r="I48" s="20">
        <v>468.72</v>
      </c>
      <c r="J48" s="12">
        <f t="shared" si="0"/>
        <v>1225.42</v>
      </c>
      <c r="K48" s="11" t="str">
        <f t="shared" si="1"/>
        <v>Jun-2024</v>
      </c>
    </row>
    <row r="49" spans="1:11" ht="19.8" customHeight="1" x14ac:dyDescent="0.3">
      <c r="A49" s="16" t="s">
        <v>138</v>
      </c>
      <c r="B49" s="17" t="s">
        <v>23</v>
      </c>
      <c r="C49" s="17" t="s">
        <v>19</v>
      </c>
      <c r="D49" s="17" t="s">
        <v>28</v>
      </c>
      <c r="E49" s="18">
        <v>1001.57</v>
      </c>
      <c r="F49" s="18">
        <v>12</v>
      </c>
      <c r="G49" s="18">
        <v>0</v>
      </c>
      <c r="H49" s="19">
        <v>45450</v>
      </c>
      <c r="I49" s="20">
        <v>450.71</v>
      </c>
      <c r="J49" s="12">
        <f t="shared" si="0"/>
        <v>1001.57</v>
      </c>
      <c r="K49" s="11" t="str">
        <f t="shared" si="1"/>
        <v>Jun-2024</v>
      </c>
    </row>
    <row r="50" spans="1:11" ht="19.8" customHeight="1" x14ac:dyDescent="0.3">
      <c r="A50" s="16" t="s">
        <v>139</v>
      </c>
      <c r="B50" s="17" t="s">
        <v>20</v>
      </c>
      <c r="C50" s="17" t="s">
        <v>15</v>
      </c>
      <c r="D50" s="17" t="s">
        <v>21</v>
      </c>
      <c r="E50" s="18">
        <v>1186.8499999999999</v>
      </c>
      <c r="F50" s="18">
        <v>19</v>
      </c>
      <c r="G50" s="18">
        <v>0.2</v>
      </c>
      <c r="H50" s="19">
        <v>45451</v>
      </c>
      <c r="I50" s="20">
        <v>332.32</v>
      </c>
      <c r="J50" s="12">
        <f t="shared" si="0"/>
        <v>1186.8499999999999</v>
      </c>
      <c r="K50" s="11" t="str">
        <f t="shared" si="1"/>
        <v>Jun-2024</v>
      </c>
    </row>
    <row r="51" spans="1:11" ht="19.8" customHeight="1" x14ac:dyDescent="0.3">
      <c r="A51" s="16" t="s">
        <v>140</v>
      </c>
      <c r="B51" s="17" t="s">
        <v>35</v>
      </c>
      <c r="C51" s="17" t="s">
        <v>16</v>
      </c>
      <c r="D51" s="17" t="s">
        <v>17</v>
      </c>
      <c r="E51" s="18">
        <v>775.45</v>
      </c>
      <c r="F51" s="18">
        <v>6</v>
      </c>
      <c r="G51" s="18">
        <v>0.1</v>
      </c>
      <c r="H51" s="19">
        <v>45457</v>
      </c>
      <c r="I51" s="20">
        <v>174.48</v>
      </c>
      <c r="J51" s="12">
        <f t="shared" si="0"/>
        <v>775.45</v>
      </c>
      <c r="K51" s="11" t="str">
        <f t="shared" si="1"/>
        <v>Jun-2024</v>
      </c>
    </row>
    <row r="52" spans="1:11" ht="19.8" customHeight="1" x14ac:dyDescent="0.3">
      <c r="A52" s="16" t="s">
        <v>141</v>
      </c>
      <c r="B52" s="17" t="s">
        <v>24</v>
      </c>
      <c r="C52" s="17" t="s">
        <v>16</v>
      </c>
      <c r="D52" s="17" t="s">
        <v>17</v>
      </c>
      <c r="E52" s="18">
        <v>1021.47</v>
      </c>
      <c r="F52" s="18">
        <v>6</v>
      </c>
      <c r="G52" s="18">
        <v>0.05</v>
      </c>
      <c r="H52" s="19">
        <v>45461</v>
      </c>
      <c r="I52" s="20">
        <v>242.6</v>
      </c>
      <c r="J52" s="12">
        <f t="shared" si="0"/>
        <v>1021.47</v>
      </c>
      <c r="K52" s="11" t="str">
        <f t="shared" si="1"/>
        <v>Jun-2024</v>
      </c>
    </row>
    <row r="53" spans="1:11" ht="19.8" customHeight="1" x14ac:dyDescent="0.3">
      <c r="A53" s="16" t="s">
        <v>142</v>
      </c>
      <c r="B53" s="17" t="s">
        <v>18</v>
      </c>
      <c r="C53" s="17" t="s">
        <v>16</v>
      </c>
      <c r="D53" s="17" t="s">
        <v>13</v>
      </c>
      <c r="E53" s="18">
        <v>1226.6199999999999</v>
      </c>
      <c r="F53" s="18">
        <v>7</v>
      </c>
      <c r="G53" s="18">
        <v>0.1</v>
      </c>
      <c r="H53" s="19">
        <v>45463</v>
      </c>
      <c r="I53" s="20">
        <v>551.98</v>
      </c>
      <c r="J53" s="12">
        <f t="shared" si="0"/>
        <v>1226.6199999999999</v>
      </c>
      <c r="K53" s="11" t="str">
        <f t="shared" si="1"/>
        <v>Jun-2024</v>
      </c>
    </row>
    <row r="54" spans="1:11" ht="19.8" customHeight="1" x14ac:dyDescent="0.3">
      <c r="A54" s="16" t="s">
        <v>143</v>
      </c>
      <c r="B54" s="17" t="s">
        <v>42</v>
      </c>
      <c r="C54" s="17" t="s">
        <v>16</v>
      </c>
      <c r="D54" s="17" t="s">
        <v>21</v>
      </c>
      <c r="E54" s="18">
        <v>1086.93</v>
      </c>
      <c r="F54" s="18">
        <v>2</v>
      </c>
      <c r="G54" s="18">
        <v>0</v>
      </c>
      <c r="H54" s="19">
        <v>45464</v>
      </c>
      <c r="I54" s="20">
        <v>380.43</v>
      </c>
      <c r="J54" s="12">
        <f t="shared" si="0"/>
        <v>1086.93</v>
      </c>
      <c r="K54" s="11" t="str">
        <f t="shared" si="1"/>
        <v>Jun-2024</v>
      </c>
    </row>
    <row r="55" spans="1:11" ht="19.8" customHeight="1" x14ac:dyDescent="0.3">
      <c r="A55" s="16" t="s">
        <v>144</v>
      </c>
      <c r="B55" s="17" t="s">
        <v>33</v>
      </c>
      <c r="C55" s="17" t="s">
        <v>10</v>
      </c>
      <c r="D55" s="17" t="s">
        <v>11</v>
      </c>
      <c r="E55" s="18">
        <v>942.9</v>
      </c>
      <c r="F55" s="18">
        <v>18</v>
      </c>
      <c r="G55" s="18">
        <v>0.1</v>
      </c>
      <c r="H55" s="19">
        <v>45466</v>
      </c>
      <c r="I55" s="20">
        <v>339.44</v>
      </c>
      <c r="J55" s="12">
        <f t="shared" si="0"/>
        <v>942.9</v>
      </c>
      <c r="K55" s="11" t="str">
        <f t="shared" si="1"/>
        <v>Jun-2024</v>
      </c>
    </row>
    <row r="56" spans="1:11" ht="19.8" customHeight="1" x14ac:dyDescent="0.3">
      <c r="A56" s="16" t="s">
        <v>145</v>
      </c>
      <c r="B56" s="17" t="s">
        <v>27</v>
      </c>
      <c r="C56" s="17" t="s">
        <v>19</v>
      </c>
      <c r="D56" s="17" t="s">
        <v>17</v>
      </c>
      <c r="E56" s="18">
        <v>818.8</v>
      </c>
      <c r="F56" s="18">
        <v>15</v>
      </c>
      <c r="G56" s="18">
        <v>0.15</v>
      </c>
      <c r="H56" s="19">
        <v>45468</v>
      </c>
      <c r="I56" s="20">
        <v>173.99</v>
      </c>
      <c r="J56" s="12">
        <f t="shared" si="0"/>
        <v>818.8</v>
      </c>
      <c r="K56" s="11" t="str">
        <f t="shared" si="1"/>
        <v>Jun-2024</v>
      </c>
    </row>
    <row r="57" spans="1:11" ht="19.8" customHeight="1" x14ac:dyDescent="0.3">
      <c r="A57" s="16" t="s">
        <v>146</v>
      </c>
      <c r="B57" s="17" t="s">
        <v>12</v>
      </c>
      <c r="C57" s="17" t="s">
        <v>16</v>
      </c>
      <c r="D57" s="17" t="s">
        <v>21</v>
      </c>
      <c r="E57" s="18">
        <v>919.04</v>
      </c>
      <c r="F57" s="18">
        <v>10</v>
      </c>
      <c r="G57" s="18">
        <v>0.2</v>
      </c>
      <c r="H57" s="19">
        <v>45468</v>
      </c>
      <c r="I57" s="20">
        <v>257.33</v>
      </c>
      <c r="J57" s="12">
        <f t="shared" si="0"/>
        <v>919.04</v>
      </c>
      <c r="K57" s="11" t="str">
        <f t="shared" si="1"/>
        <v>Jun-2024</v>
      </c>
    </row>
    <row r="58" spans="1:11" ht="19.8" customHeight="1" x14ac:dyDescent="0.3">
      <c r="A58" s="16" t="s">
        <v>147</v>
      </c>
      <c r="B58" s="17" t="s">
        <v>43</v>
      </c>
      <c r="C58" s="17" t="s">
        <v>25</v>
      </c>
      <c r="D58" s="17" t="s">
        <v>11</v>
      </c>
      <c r="E58" s="18">
        <v>973.26</v>
      </c>
      <c r="F58" s="18">
        <v>11</v>
      </c>
      <c r="G58" s="18">
        <v>0</v>
      </c>
      <c r="H58" s="19">
        <v>45470</v>
      </c>
      <c r="I58" s="20">
        <v>389.3</v>
      </c>
      <c r="J58" s="12">
        <f t="shared" si="0"/>
        <v>973.26</v>
      </c>
      <c r="K58" s="11" t="str">
        <f t="shared" si="1"/>
        <v>Jun-2024</v>
      </c>
    </row>
    <row r="59" spans="1:11" ht="19.8" customHeight="1" x14ac:dyDescent="0.3">
      <c r="A59" s="16" t="s">
        <v>148</v>
      </c>
      <c r="B59" s="17" t="s">
        <v>42</v>
      </c>
      <c r="C59" s="17" t="s">
        <v>19</v>
      </c>
      <c r="D59" s="17" t="s">
        <v>17</v>
      </c>
      <c r="E59" s="18">
        <v>741.61</v>
      </c>
      <c r="F59" s="18">
        <v>1</v>
      </c>
      <c r="G59" s="18">
        <v>0.2</v>
      </c>
      <c r="H59" s="19">
        <v>45471</v>
      </c>
      <c r="I59" s="20">
        <v>148.32</v>
      </c>
      <c r="J59" s="12">
        <f t="shared" si="0"/>
        <v>741.61</v>
      </c>
      <c r="K59" s="11" t="str">
        <f t="shared" si="1"/>
        <v>Jun-2024</v>
      </c>
    </row>
    <row r="60" spans="1:11" ht="19.8" customHeight="1" x14ac:dyDescent="0.3">
      <c r="A60" s="16" t="s">
        <v>149</v>
      </c>
      <c r="B60" s="17" t="s">
        <v>27</v>
      </c>
      <c r="C60" s="17" t="s">
        <v>19</v>
      </c>
      <c r="D60" s="17" t="s">
        <v>11</v>
      </c>
      <c r="E60" s="18">
        <v>1248.82</v>
      </c>
      <c r="F60" s="18">
        <v>2</v>
      </c>
      <c r="G60" s="18">
        <v>0.1</v>
      </c>
      <c r="H60" s="19">
        <v>45473</v>
      </c>
      <c r="I60" s="20">
        <v>449.58</v>
      </c>
      <c r="J60" s="12">
        <f t="shared" si="0"/>
        <v>1248.82</v>
      </c>
      <c r="K60" s="11" t="str">
        <f t="shared" si="1"/>
        <v>Jun-2024</v>
      </c>
    </row>
    <row r="61" spans="1:11" ht="19.8" customHeight="1" x14ac:dyDescent="0.3">
      <c r="A61" s="16" t="s">
        <v>150</v>
      </c>
      <c r="B61" s="17" t="s">
        <v>39</v>
      </c>
      <c r="C61" s="17" t="s">
        <v>10</v>
      </c>
      <c r="D61" s="17" t="s">
        <v>13</v>
      </c>
      <c r="E61" s="18">
        <v>1360.36</v>
      </c>
      <c r="F61" s="18">
        <v>17</v>
      </c>
      <c r="G61" s="18">
        <v>0</v>
      </c>
      <c r="H61" s="19">
        <v>45473</v>
      </c>
      <c r="I61" s="20">
        <v>680.18</v>
      </c>
      <c r="J61" s="12">
        <f t="shared" si="0"/>
        <v>1360.36</v>
      </c>
      <c r="K61" s="11" t="str">
        <f t="shared" si="1"/>
        <v>Jun-2024</v>
      </c>
    </row>
    <row r="62" spans="1:11" ht="19.8" customHeight="1" x14ac:dyDescent="0.3">
      <c r="A62" s="16" t="s">
        <v>151</v>
      </c>
      <c r="B62" s="17" t="s">
        <v>23</v>
      </c>
      <c r="C62" s="17" t="s">
        <v>15</v>
      </c>
      <c r="D62" s="17" t="s">
        <v>11</v>
      </c>
      <c r="E62" s="18">
        <v>1383.3</v>
      </c>
      <c r="F62" s="18">
        <v>8</v>
      </c>
      <c r="G62" s="18">
        <v>0.1</v>
      </c>
      <c r="H62" s="19">
        <v>45478</v>
      </c>
      <c r="I62" s="20">
        <v>497.99</v>
      </c>
      <c r="J62" s="12">
        <f t="shared" si="0"/>
        <v>1383.3</v>
      </c>
      <c r="K62" s="11" t="str">
        <f t="shared" si="1"/>
        <v>Jul-2024</v>
      </c>
    </row>
    <row r="63" spans="1:11" ht="19.8" customHeight="1" x14ac:dyDescent="0.3">
      <c r="A63" s="16" t="s">
        <v>152</v>
      </c>
      <c r="B63" s="17" t="s">
        <v>37</v>
      </c>
      <c r="C63" s="17" t="s">
        <v>25</v>
      </c>
      <c r="D63" s="17" t="s">
        <v>28</v>
      </c>
      <c r="E63" s="18">
        <v>488.99</v>
      </c>
      <c r="F63" s="18">
        <v>9</v>
      </c>
      <c r="G63" s="18">
        <v>0</v>
      </c>
      <c r="H63" s="19">
        <v>45479</v>
      </c>
      <c r="I63" s="20">
        <v>220.05</v>
      </c>
      <c r="J63" s="12">
        <f t="shared" si="0"/>
        <v>488.99</v>
      </c>
      <c r="K63" s="11" t="str">
        <f t="shared" si="1"/>
        <v>Jul-2024</v>
      </c>
    </row>
    <row r="64" spans="1:11" ht="19.8" customHeight="1" x14ac:dyDescent="0.3">
      <c r="A64" s="16" t="s">
        <v>153</v>
      </c>
      <c r="B64" s="17" t="s">
        <v>23</v>
      </c>
      <c r="C64" s="17" t="s">
        <v>15</v>
      </c>
      <c r="D64" s="17" t="s">
        <v>21</v>
      </c>
      <c r="E64" s="18">
        <v>933.71</v>
      </c>
      <c r="F64" s="18">
        <v>17</v>
      </c>
      <c r="G64" s="18">
        <v>0.1</v>
      </c>
      <c r="H64" s="19">
        <v>45481</v>
      </c>
      <c r="I64" s="20">
        <v>294.12</v>
      </c>
      <c r="J64" s="12">
        <f t="shared" si="0"/>
        <v>933.71</v>
      </c>
      <c r="K64" s="11" t="str">
        <f t="shared" si="1"/>
        <v>Jul-2024</v>
      </c>
    </row>
    <row r="65" spans="1:11" ht="19.8" customHeight="1" x14ac:dyDescent="0.3">
      <c r="A65" s="16" t="s">
        <v>154</v>
      </c>
      <c r="B65" s="17" t="s">
        <v>9</v>
      </c>
      <c r="C65" s="17" t="s">
        <v>10</v>
      </c>
      <c r="D65" s="17" t="s">
        <v>17</v>
      </c>
      <c r="E65" s="18">
        <v>1005.53</v>
      </c>
      <c r="F65" s="18">
        <v>17</v>
      </c>
      <c r="G65" s="18">
        <v>0.2</v>
      </c>
      <c r="H65" s="19">
        <v>45481</v>
      </c>
      <c r="I65" s="20">
        <v>201.11</v>
      </c>
      <c r="J65" s="12">
        <f t="shared" si="0"/>
        <v>1005.53</v>
      </c>
      <c r="K65" s="11" t="str">
        <f t="shared" si="1"/>
        <v>Jul-2024</v>
      </c>
    </row>
    <row r="66" spans="1:11" ht="19.8" customHeight="1" x14ac:dyDescent="0.3">
      <c r="A66" s="16" t="s">
        <v>155</v>
      </c>
      <c r="B66" s="17" t="s">
        <v>40</v>
      </c>
      <c r="C66" s="17" t="s">
        <v>16</v>
      </c>
      <c r="D66" s="17" t="s">
        <v>17</v>
      </c>
      <c r="E66" s="18">
        <v>1100.0999999999999</v>
      </c>
      <c r="F66" s="18">
        <v>5</v>
      </c>
      <c r="G66" s="18">
        <v>0.05</v>
      </c>
      <c r="H66" s="19">
        <v>45482</v>
      </c>
      <c r="I66" s="20">
        <v>261.27</v>
      </c>
      <c r="J66" s="12">
        <f t="shared" si="0"/>
        <v>1100.0999999999999</v>
      </c>
      <c r="K66" s="11" t="str">
        <f t="shared" si="1"/>
        <v>Jul-2024</v>
      </c>
    </row>
    <row r="67" spans="1:11" ht="19.8" customHeight="1" x14ac:dyDescent="0.3">
      <c r="A67" s="16" t="s">
        <v>156</v>
      </c>
      <c r="B67" s="17" t="s">
        <v>18</v>
      </c>
      <c r="C67" s="17" t="s">
        <v>19</v>
      </c>
      <c r="D67" s="17" t="s">
        <v>21</v>
      </c>
      <c r="E67" s="18">
        <v>1034.7</v>
      </c>
      <c r="F67" s="18">
        <v>15</v>
      </c>
      <c r="G67" s="18">
        <v>0.15</v>
      </c>
      <c r="H67" s="19">
        <v>45487</v>
      </c>
      <c r="I67" s="20">
        <v>307.82</v>
      </c>
      <c r="J67" s="12">
        <f t="shared" ref="J67:J130" si="3">SUMIF($A:$A,A67,$E:$E)</f>
        <v>1034.7</v>
      </c>
      <c r="K67" s="11" t="str">
        <f t="shared" ref="K67:K130" si="4">TEXT(H67, "MMM-YYYY")</f>
        <v>Jul-2024</v>
      </c>
    </row>
    <row r="68" spans="1:11" ht="19.8" customHeight="1" x14ac:dyDescent="0.3">
      <c r="A68" s="16" t="s">
        <v>157</v>
      </c>
      <c r="B68" s="17" t="s">
        <v>23</v>
      </c>
      <c r="C68" s="17" t="s">
        <v>16</v>
      </c>
      <c r="D68" s="17" t="s">
        <v>11</v>
      </c>
      <c r="E68" s="18">
        <v>876.44</v>
      </c>
      <c r="F68" s="18">
        <v>12</v>
      </c>
      <c r="G68" s="18">
        <v>0.05</v>
      </c>
      <c r="H68" s="19">
        <v>45488</v>
      </c>
      <c r="I68" s="20">
        <v>333.05</v>
      </c>
      <c r="J68" s="12">
        <f t="shared" si="3"/>
        <v>876.44</v>
      </c>
      <c r="K68" s="11" t="str">
        <f t="shared" si="4"/>
        <v>Jul-2024</v>
      </c>
    </row>
    <row r="69" spans="1:11" ht="19.8" customHeight="1" x14ac:dyDescent="0.3">
      <c r="A69" s="16" t="s">
        <v>158</v>
      </c>
      <c r="B69" s="17" t="s">
        <v>37</v>
      </c>
      <c r="C69" s="17" t="s">
        <v>10</v>
      </c>
      <c r="D69" s="17" t="s">
        <v>21</v>
      </c>
      <c r="E69" s="18">
        <v>1371.34</v>
      </c>
      <c r="F69" s="18">
        <v>5</v>
      </c>
      <c r="G69" s="18">
        <v>0.05</v>
      </c>
      <c r="H69" s="19">
        <v>45488</v>
      </c>
      <c r="I69" s="20">
        <v>455.97</v>
      </c>
      <c r="J69" s="12">
        <f t="shared" si="3"/>
        <v>1371.34</v>
      </c>
      <c r="K69" s="11" t="str">
        <f t="shared" si="4"/>
        <v>Jul-2024</v>
      </c>
    </row>
    <row r="70" spans="1:11" ht="19.8" customHeight="1" x14ac:dyDescent="0.3">
      <c r="A70" s="16" t="s">
        <v>159</v>
      </c>
      <c r="B70" s="17" t="s">
        <v>32</v>
      </c>
      <c r="C70" s="17" t="s">
        <v>19</v>
      </c>
      <c r="D70" s="17" t="s">
        <v>17</v>
      </c>
      <c r="E70" s="18">
        <v>1020.26</v>
      </c>
      <c r="F70" s="18">
        <v>11</v>
      </c>
      <c r="G70" s="18">
        <v>0.05</v>
      </c>
      <c r="H70" s="19">
        <v>45494</v>
      </c>
      <c r="I70" s="20">
        <v>242.31</v>
      </c>
      <c r="J70" s="12">
        <f t="shared" si="3"/>
        <v>1020.26</v>
      </c>
      <c r="K70" s="11" t="str">
        <f t="shared" si="4"/>
        <v>Jul-2024</v>
      </c>
    </row>
    <row r="71" spans="1:11" ht="19.8" customHeight="1" x14ac:dyDescent="0.3">
      <c r="A71" s="16" t="s">
        <v>160</v>
      </c>
      <c r="B71" s="17" t="s">
        <v>9</v>
      </c>
      <c r="C71" s="17" t="s">
        <v>25</v>
      </c>
      <c r="D71" s="17" t="s">
        <v>28</v>
      </c>
      <c r="E71" s="18">
        <v>804.81</v>
      </c>
      <c r="F71" s="18">
        <v>1</v>
      </c>
      <c r="G71" s="18">
        <v>0.05</v>
      </c>
      <c r="H71" s="19">
        <v>45502</v>
      </c>
      <c r="I71" s="20">
        <v>344.06</v>
      </c>
      <c r="J71" s="12">
        <f t="shared" si="3"/>
        <v>804.81</v>
      </c>
      <c r="K71" s="11" t="str">
        <f t="shared" si="4"/>
        <v>Jul-2024</v>
      </c>
    </row>
    <row r="72" spans="1:11" ht="19.8" customHeight="1" x14ac:dyDescent="0.3">
      <c r="A72" s="16" t="s">
        <v>161</v>
      </c>
      <c r="B72" s="17" t="s">
        <v>37</v>
      </c>
      <c r="C72" s="17" t="s">
        <v>25</v>
      </c>
      <c r="D72" s="17" t="s">
        <v>17</v>
      </c>
      <c r="E72" s="18">
        <v>608.66</v>
      </c>
      <c r="F72" s="18">
        <v>1</v>
      </c>
      <c r="G72" s="18">
        <v>0.05</v>
      </c>
      <c r="H72" s="19">
        <v>45503</v>
      </c>
      <c r="I72" s="20">
        <v>144.56</v>
      </c>
      <c r="J72" s="12">
        <f t="shared" si="3"/>
        <v>608.66</v>
      </c>
      <c r="K72" s="11" t="str">
        <f t="shared" si="4"/>
        <v>Jul-2024</v>
      </c>
    </row>
    <row r="73" spans="1:11" ht="19.8" customHeight="1" x14ac:dyDescent="0.3">
      <c r="A73" s="16" t="s">
        <v>162</v>
      </c>
      <c r="B73" s="17" t="s">
        <v>44</v>
      </c>
      <c r="C73" s="17" t="s">
        <v>16</v>
      </c>
      <c r="D73" s="17" t="s">
        <v>28</v>
      </c>
      <c r="E73" s="18">
        <v>981.2</v>
      </c>
      <c r="F73" s="18">
        <v>19</v>
      </c>
      <c r="G73" s="18">
        <v>0</v>
      </c>
      <c r="H73" s="19">
        <v>45504</v>
      </c>
      <c r="I73" s="20">
        <v>441.54</v>
      </c>
      <c r="J73" s="12">
        <f t="shared" si="3"/>
        <v>981.2</v>
      </c>
      <c r="K73" s="11" t="str">
        <f t="shared" si="4"/>
        <v>Jul-2024</v>
      </c>
    </row>
    <row r="74" spans="1:11" ht="19.8" customHeight="1" x14ac:dyDescent="0.3">
      <c r="A74" s="16" t="s">
        <v>163</v>
      </c>
      <c r="B74" s="17" t="s">
        <v>37</v>
      </c>
      <c r="C74" s="17" t="s">
        <v>15</v>
      </c>
      <c r="D74" s="17" t="s">
        <v>17</v>
      </c>
      <c r="E74" s="18">
        <v>539.77</v>
      </c>
      <c r="F74" s="18">
        <v>10</v>
      </c>
      <c r="G74" s="18">
        <v>0.15</v>
      </c>
      <c r="H74" s="19">
        <v>45509</v>
      </c>
      <c r="I74" s="20">
        <v>114.7</v>
      </c>
      <c r="J74" s="12">
        <f t="shared" si="3"/>
        <v>539.77</v>
      </c>
      <c r="K74" s="11" t="str">
        <f t="shared" si="4"/>
        <v>Aug-2024</v>
      </c>
    </row>
    <row r="75" spans="1:11" ht="19.8" customHeight="1" x14ac:dyDescent="0.3">
      <c r="A75" s="16" t="s">
        <v>164</v>
      </c>
      <c r="B75" s="17" t="s">
        <v>45</v>
      </c>
      <c r="C75" s="17" t="s">
        <v>16</v>
      </c>
      <c r="D75" s="17" t="s">
        <v>11</v>
      </c>
      <c r="E75" s="18">
        <v>804.45</v>
      </c>
      <c r="F75" s="18">
        <v>5</v>
      </c>
      <c r="G75" s="18">
        <v>0.2</v>
      </c>
      <c r="H75" s="19">
        <v>45509</v>
      </c>
      <c r="I75" s="20">
        <v>257.42</v>
      </c>
      <c r="J75" s="12">
        <f t="shared" si="3"/>
        <v>804.45</v>
      </c>
      <c r="K75" s="11" t="str">
        <f t="shared" si="4"/>
        <v>Aug-2024</v>
      </c>
    </row>
    <row r="76" spans="1:11" ht="19.8" customHeight="1" x14ac:dyDescent="0.3">
      <c r="A76" s="16" t="s">
        <v>165</v>
      </c>
      <c r="B76" s="17" t="s">
        <v>27</v>
      </c>
      <c r="C76" s="17" t="s">
        <v>10</v>
      </c>
      <c r="D76" s="17" t="s">
        <v>17</v>
      </c>
      <c r="E76" s="18">
        <v>1526.6</v>
      </c>
      <c r="F76" s="18">
        <v>13</v>
      </c>
      <c r="G76" s="18">
        <v>0.2</v>
      </c>
      <c r="H76" s="19">
        <v>45512</v>
      </c>
      <c r="I76" s="20">
        <v>305.32</v>
      </c>
      <c r="J76" s="12">
        <f t="shared" si="3"/>
        <v>1526.6</v>
      </c>
      <c r="K76" s="11" t="str">
        <f t="shared" si="4"/>
        <v>Aug-2024</v>
      </c>
    </row>
    <row r="77" spans="1:11" ht="19.8" customHeight="1" x14ac:dyDescent="0.3">
      <c r="A77" s="16" t="s">
        <v>166</v>
      </c>
      <c r="B77" s="17" t="s">
        <v>22</v>
      </c>
      <c r="C77" s="17" t="s">
        <v>10</v>
      </c>
      <c r="D77" s="17" t="s">
        <v>17</v>
      </c>
      <c r="E77" s="18">
        <v>1215.26</v>
      </c>
      <c r="F77" s="18">
        <v>5</v>
      </c>
      <c r="G77" s="18">
        <v>0.15</v>
      </c>
      <c r="H77" s="19">
        <v>45513</v>
      </c>
      <c r="I77" s="20">
        <v>258.24</v>
      </c>
      <c r="J77" s="12">
        <f t="shared" si="3"/>
        <v>1215.26</v>
      </c>
      <c r="K77" s="11" t="str">
        <f t="shared" si="4"/>
        <v>Aug-2024</v>
      </c>
    </row>
    <row r="78" spans="1:11" ht="19.8" customHeight="1" x14ac:dyDescent="0.3">
      <c r="A78" s="16" t="s">
        <v>167</v>
      </c>
      <c r="B78" s="17" t="s">
        <v>36</v>
      </c>
      <c r="C78" s="17" t="s">
        <v>25</v>
      </c>
      <c r="D78" s="17" t="s">
        <v>21</v>
      </c>
      <c r="E78" s="18">
        <v>1261.3399999999999</v>
      </c>
      <c r="F78" s="18">
        <v>3</v>
      </c>
      <c r="G78" s="18">
        <v>0</v>
      </c>
      <c r="H78" s="19">
        <v>45519</v>
      </c>
      <c r="I78" s="20">
        <v>441.47</v>
      </c>
      <c r="J78" s="12">
        <f t="shared" si="3"/>
        <v>1261.3399999999999</v>
      </c>
      <c r="K78" s="11" t="str">
        <f t="shared" si="4"/>
        <v>Aug-2024</v>
      </c>
    </row>
    <row r="79" spans="1:11" ht="19.8" customHeight="1" x14ac:dyDescent="0.3">
      <c r="A79" s="16" t="s">
        <v>168</v>
      </c>
      <c r="B79" s="17" t="s">
        <v>31</v>
      </c>
      <c r="C79" s="17" t="s">
        <v>19</v>
      </c>
      <c r="D79" s="17" t="s">
        <v>21</v>
      </c>
      <c r="E79" s="18">
        <v>518.07000000000005</v>
      </c>
      <c r="F79" s="18">
        <v>7</v>
      </c>
      <c r="G79" s="18">
        <v>0.05</v>
      </c>
      <c r="H79" s="19">
        <v>45522</v>
      </c>
      <c r="I79" s="20">
        <v>172.26</v>
      </c>
      <c r="J79" s="12">
        <f t="shared" si="3"/>
        <v>518.07000000000005</v>
      </c>
      <c r="K79" s="11" t="str">
        <f t="shared" si="4"/>
        <v>Aug-2024</v>
      </c>
    </row>
    <row r="80" spans="1:11" ht="19.8" customHeight="1" x14ac:dyDescent="0.3">
      <c r="A80" s="16" t="s">
        <v>169</v>
      </c>
      <c r="B80" s="17" t="s">
        <v>22</v>
      </c>
      <c r="C80" s="17" t="s">
        <v>10</v>
      </c>
      <c r="D80" s="17" t="s">
        <v>28</v>
      </c>
      <c r="E80" s="18">
        <v>1111.3399999999999</v>
      </c>
      <c r="F80" s="18">
        <v>1</v>
      </c>
      <c r="G80" s="18">
        <v>0</v>
      </c>
      <c r="H80" s="19">
        <v>45523</v>
      </c>
      <c r="I80" s="20">
        <v>500.1</v>
      </c>
      <c r="J80" s="12">
        <f t="shared" si="3"/>
        <v>1111.3399999999999</v>
      </c>
      <c r="K80" s="11" t="str">
        <f t="shared" si="4"/>
        <v>Aug-2024</v>
      </c>
    </row>
    <row r="81" spans="1:11" ht="19.8" customHeight="1" x14ac:dyDescent="0.3">
      <c r="A81" s="16" t="s">
        <v>170</v>
      </c>
      <c r="B81" s="17" t="s">
        <v>23</v>
      </c>
      <c r="C81" s="17" t="s">
        <v>15</v>
      </c>
      <c r="D81" s="17" t="s">
        <v>13</v>
      </c>
      <c r="E81" s="18">
        <v>1291.47</v>
      </c>
      <c r="F81" s="18">
        <v>18</v>
      </c>
      <c r="G81" s="18">
        <v>0.1</v>
      </c>
      <c r="H81" s="19">
        <v>45526</v>
      </c>
      <c r="I81" s="20">
        <v>581.16</v>
      </c>
      <c r="J81" s="12">
        <f t="shared" si="3"/>
        <v>1291.47</v>
      </c>
      <c r="K81" s="11" t="str">
        <f t="shared" si="4"/>
        <v>Aug-2024</v>
      </c>
    </row>
    <row r="82" spans="1:11" ht="19.8" customHeight="1" x14ac:dyDescent="0.3">
      <c r="A82" s="16" t="s">
        <v>171</v>
      </c>
      <c r="B82" s="17" t="s">
        <v>37</v>
      </c>
      <c r="C82" s="17" t="s">
        <v>19</v>
      </c>
      <c r="D82" s="17" t="s">
        <v>11</v>
      </c>
      <c r="E82" s="18">
        <v>679.71</v>
      </c>
      <c r="F82" s="18">
        <v>19</v>
      </c>
      <c r="G82" s="18">
        <v>0</v>
      </c>
      <c r="H82" s="19">
        <v>45534</v>
      </c>
      <c r="I82" s="20">
        <v>271.88</v>
      </c>
      <c r="J82" s="12">
        <f t="shared" si="3"/>
        <v>679.71</v>
      </c>
      <c r="K82" s="11" t="str">
        <f t="shared" si="4"/>
        <v>Aug-2024</v>
      </c>
    </row>
    <row r="83" spans="1:11" ht="19.8" customHeight="1" x14ac:dyDescent="0.3">
      <c r="A83" s="16" t="s">
        <v>172</v>
      </c>
      <c r="B83" s="17" t="s">
        <v>24</v>
      </c>
      <c r="C83" s="17" t="s">
        <v>15</v>
      </c>
      <c r="D83" s="17" t="s">
        <v>21</v>
      </c>
      <c r="E83" s="18">
        <v>1143.69</v>
      </c>
      <c r="F83" s="18">
        <v>17</v>
      </c>
      <c r="G83" s="18">
        <v>0</v>
      </c>
      <c r="H83" s="19">
        <v>45534</v>
      </c>
      <c r="I83" s="20">
        <v>400.29</v>
      </c>
      <c r="J83" s="12">
        <f t="shared" si="3"/>
        <v>1143.69</v>
      </c>
      <c r="K83" s="11" t="str">
        <f t="shared" si="4"/>
        <v>Aug-2024</v>
      </c>
    </row>
    <row r="84" spans="1:11" ht="19.8" customHeight="1" x14ac:dyDescent="0.3">
      <c r="A84" s="16" t="s">
        <v>173</v>
      </c>
      <c r="B84" s="17" t="s">
        <v>34</v>
      </c>
      <c r="C84" s="17" t="s">
        <v>25</v>
      </c>
      <c r="D84" s="17" t="s">
        <v>17</v>
      </c>
      <c r="E84" s="18">
        <v>790.08</v>
      </c>
      <c r="F84" s="18">
        <v>7</v>
      </c>
      <c r="G84" s="18">
        <v>0.1</v>
      </c>
      <c r="H84" s="19">
        <v>45536</v>
      </c>
      <c r="I84" s="20">
        <v>177.77</v>
      </c>
      <c r="J84" s="12">
        <f t="shared" si="3"/>
        <v>790.08</v>
      </c>
      <c r="K84" s="11" t="str">
        <f t="shared" si="4"/>
        <v>Sep-2024</v>
      </c>
    </row>
    <row r="85" spans="1:11" ht="19.8" customHeight="1" x14ac:dyDescent="0.3">
      <c r="A85" s="16" t="s">
        <v>174</v>
      </c>
      <c r="B85" s="17" t="s">
        <v>33</v>
      </c>
      <c r="C85" s="17" t="s">
        <v>25</v>
      </c>
      <c r="D85" s="17" t="s">
        <v>11</v>
      </c>
      <c r="E85" s="18">
        <v>1070.68</v>
      </c>
      <c r="F85" s="18">
        <v>7</v>
      </c>
      <c r="G85" s="18">
        <v>0.05</v>
      </c>
      <c r="H85" s="19">
        <v>45536</v>
      </c>
      <c r="I85" s="20">
        <v>406.86</v>
      </c>
      <c r="J85" s="12">
        <f t="shared" si="3"/>
        <v>1070.68</v>
      </c>
      <c r="K85" s="11" t="str">
        <f t="shared" si="4"/>
        <v>Sep-2024</v>
      </c>
    </row>
    <row r="86" spans="1:11" ht="19.8" customHeight="1" x14ac:dyDescent="0.3">
      <c r="A86" s="16" t="s">
        <v>175</v>
      </c>
      <c r="B86" s="17" t="s">
        <v>26</v>
      </c>
      <c r="C86" s="17" t="s">
        <v>10</v>
      </c>
      <c r="D86" s="17" t="s">
        <v>13</v>
      </c>
      <c r="E86" s="18">
        <v>1168.8900000000001</v>
      </c>
      <c r="F86" s="18">
        <v>4</v>
      </c>
      <c r="G86" s="18">
        <v>0.1</v>
      </c>
      <c r="H86" s="19">
        <v>45544</v>
      </c>
      <c r="I86" s="20">
        <v>526</v>
      </c>
      <c r="J86" s="12">
        <f t="shared" si="3"/>
        <v>1168.8900000000001</v>
      </c>
      <c r="K86" s="11" t="str">
        <f t="shared" si="4"/>
        <v>Sep-2024</v>
      </c>
    </row>
    <row r="87" spans="1:11" ht="19.8" customHeight="1" x14ac:dyDescent="0.3">
      <c r="A87" s="16" t="s">
        <v>176</v>
      </c>
      <c r="B87" s="17" t="s">
        <v>9</v>
      </c>
      <c r="C87" s="17" t="s">
        <v>16</v>
      </c>
      <c r="D87" s="17" t="s">
        <v>17</v>
      </c>
      <c r="E87" s="18">
        <v>1335.87</v>
      </c>
      <c r="F87" s="18">
        <v>17</v>
      </c>
      <c r="G87" s="18">
        <v>0</v>
      </c>
      <c r="H87" s="19">
        <v>45544</v>
      </c>
      <c r="I87" s="20">
        <v>333.97</v>
      </c>
      <c r="J87" s="12">
        <f t="shared" si="3"/>
        <v>1335.87</v>
      </c>
      <c r="K87" s="11" t="str">
        <f t="shared" si="4"/>
        <v>Sep-2024</v>
      </c>
    </row>
    <row r="88" spans="1:11" ht="19.8" customHeight="1" x14ac:dyDescent="0.3">
      <c r="A88" s="16" t="s">
        <v>177</v>
      </c>
      <c r="B88" s="17" t="s">
        <v>37</v>
      </c>
      <c r="C88" s="17" t="s">
        <v>15</v>
      </c>
      <c r="D88" s="17" t="s">
        <v>21</v>
      </c>
      <c r="E88" s="18">
        <v>873.7</v>
      </c>
      <c r="F88" s="18">
        <v>9</v>
      </c>
      <c r="G88" s="18">
        <v>0</v>
      </c>
      <c r="H88" s="19">
        <v>45546</v>
      </c>
      <c r="I88" s="20">
        <v>305.8</v>
      </c>
      <c r="J88" s="12">
        <f t="shared" si="3"/>
        <v>873.7</v>
      </c>
      <c r="K88" s="11" t="str">
        <f t="shared" si="4"/>
        <v>Sep-2024</v>
      </c>
    </row>
    <row r="89" spans="1:11" ht="19.8" customHeight="1" x14ac:dyDescent="0.3">
      <c r="A89" s="16" t="s">
        <v>178</v>
      </c>
      <c r="B89" s="17" t="s">
        <v>42</v>
      </c>
      <c r="C89" s="17" t="s">
        <v>10</v>
      </c>
      <c r="D89" s="17" t="s">
        <v>28</v>
      </c>
      <c r="E89" s="18">
        <v>1443.98</v>
      </c>
      <c r="F89" s="18">
        <v>19</v>
      </c>
      <c r="G89" s="18">
        <v>0</v>
      </c>
      <c r="H89" s="19">
        <v>45547</v>
      </c>
      <c r="I89" s="20">
        <v>649.79</v>
      </c>
      <c r="J89" s="12">
        <f t="shared" si="3"/>
        <v>1443.98</v>
      </c>
      <c r="K89" s="11" t="str">
        <f t="shared" si="4"/>
        <v>Sep-2024</v>
      </c>
    </row>
    <row r="90" spans="1:11" ht="19.8" customHeight="1" x14ac:dyDescent="0.3">
      <c r="A90" s="16" t="s">
        <v>179</v>
      </c>
      <c r="B90" s="17" t="s">
        <v>18</v>
      </c>
      <c r="C90" s="17" t="s">
        <v>15</v>
      </c>
      <c r="D90" s="17" t="s">
        <v>28</v>
      </c>
      <c r="E90" s="18">
        <v>1154.33</v>
      </c>
      <c r="F90" s="18">
        <v>11</v>
      </c>
      <c r="G90" s="18">
        <v>0.15</v>
      </c>
      <c r="H90" s="19">
        <v>45549</v>
      </c>
      <c r="I90" s="20">
        <v>441.53</v>
      </c>
      <c r="J90" s="12">
        <f t="shared" si="3"/>
        <v>1154.33</v>
      </c>
      <c r="K90" s="11" t="str">
        <f t="shared" si="4"/>
        <v>Sep-2024</v>
      </c>
    </row>
    <row r="91" spans="1:11" ht="19.8" customHeight="1" x14ac:dyDescent="0.3">
      <c r="A91" s="16" t="s">
        <v>180</v>
      </c>
      <c r="B91" s="17" t="s">
        <v>34</v>
      </c>
      <c r="C91" s="17" t="s">
        <v>16</v>
      </c>
      <c r="D91" s="17" t="s">
        <v>11</v>
      </c>
      <c r="E91" s="18">
        <v>1264.49</v>
      </c>
      <c r="F91" s="18">
        <v>16</v>
      </c>
      <c r="G91" s="18">
        <v>0.05</v>
      </c>
      <c r="H91" s="19">
        <v>45549</v>
      </c>
      <c r="I91" s="20">
        <v>480.51</v>
      </c>
      <c r="J91" s="12">
        <f t="shared" si="3"/>
        <v>1264.49</v>
      </c>
      <c r="K91" s="11" t="str">
        <f t="shared" si="4"/>
        <v>Sep-2024</v>
      </c>
    </row>
    <row r="92" spans="1:11" ht="19.8" customHeight="1" x14ac:dyDescent="0.3">
      <c r="A92" s="16" t="s">
        <v>181</v>
      </c>
      <c r="B92" s="17" t="s">
        <v>43</v>
      </c>
      <c r="C92" s="17" t="s">
        <v>10</v>
      </c>
      <c r="D92" s="17" t="s">
        <v>21</v>
      </c>
      <c r="E92" s="18">
        <v>1101.55</v>
      </c>
      <c r="F92" s="18">
        <v>4</v>
      </c>
      <c r="G92" s="18">
        <v>0.1</v>
      </c>
      <c r="H92" s="19">
        <v>45551</v>
      </c>
      <c r="I92" s="20">
        <v>346.99</v>
      </c>
      <c r="J92" s="12">
        <f t="shared" si="3"/>
        <v>1101.55</v>
      </c>
      <c r="K92" s="11" t="str">
        <f t="shared" si="4"/>
        <v>Sep-2024</v>
      </c>
    </row>
    <row r="93" spans="1:11" ht="19.8" customHeight="1" x14ac:dyDescent="0.3">
      <c r="A93" s="16" t="s">
        <v>182</v>
      </c>
      <c r="B93" s="17" t="s">
        <v>12</v>
      </c>
      <c r="C93" s="17" t="s">
        <v>16</v>
      </c>
      <c r="D93" s="17" t="s">
        <v>21</v>
      </c>
      <c r="E93" s="18">
        <v>727.73</v>
      </c>
      <c r="F93" s="18">
        <v>1</v>
      </c>
      <c r="G93" s="18">
        <v>0.1</v>
      </c>
      <c r="H93" s="19">
        <v>45552</v>
      </c>
      <c r="I93" s="20">
        <v>229.23</v>
      </c>
      <c r="J93" s="12">
        <f t="shared" si="3"/>
        <v>727.73</v>
      </c>
      <c r="K93" s="11" t="str">
        <f t="shared" si="4"/>
        <v>Sep-2024</v>
      </c>
    </row>
    <row r="94" spans="1:11" ht="19.8" customHeight="1" x14ac:dyDescent="0.3">
      <c r="A94" s="16" t="s">
        <v>183</v>
      </c>
      <c r="B94" s="17" t="s">
        <v>27</v>
      </c>
      <c r="C94" s="17" t="s">
        <v>15</v>
      </c>
      <c r="D94" s="17" t="s">
        <v>28</v>
      </c>
      <c r="E94" s="18">
        <v>875.41</v>
      </c>
      <c r="F94" s="18">
        <v>13</v>
      </c>
      <c r="G94" s="18">
        <v>0.15</v>
      </c>
      <c r="H94" s="19">
        <v>45552</v>
      </c>
      <c r="I94" s="20">
        <v>334.84</v>
      </c>
      <c r="J94" s="12">
        <f t="shared" si="3"/>
        <v>875.41</v>
      </c>
      <c r="K94" s="11" t="str">
        <f t="shared" si="4"/>
        <v>Sep-2024</v>
      </c>
    </row>
    <row r="95" spans="1:11" ht="19.8" customHeight="1" x14ac:dyDescent="0.3">
      <c r="A95" s="16" t="s">
        <v>184</v>
      </c>
      <c r="B95" s="17" t="s">
        <v>18</v>
      </c>
      <c r="C95" s="17" t="s">
        <v>10</v>
      </c>
      <c r="D95" s="17" t="s">
        <v>17</v>
      </c>
      <c r="E95" s="18">
        <v>1158.94</v>
      </c>
      <c r="F95" s="18">
        <v>19</v>
      </c>
      <c r="G95" s="18">
        <v>0.2</v>
      </c>
      <c r="H95" s="19">
        <v>45553</v>
      </c>
      <c r="I95" s="20">
        <v>231.79</v>
      </c>
      <c r="J95" s="12">
        <f t="shared" si="3"/>
        <v>1158.94</v>
      </c>
      <c r="K95" s="11" t="str">
        <f t="shared" si="4"/>
        <v>Sep-2024</v>
      </c>
    </row>
    <row r="96" spans="1:11" ht="19.8" customHeight="1" x14ac:dyDescent="0.3">
      <c r="A96" s="16" t="s">
        <v>185</v>
      </c>
      <c r="B96" s="17" t="s">
        <v>32</v>
      </c>
      <c r="C96" s="17" t="s">
        <v>16</v>
      </c>
      <c r="D96" s="17" t="s">
        <v>11</v>
      </c>
      <c r="E96" s="18">
        <v>966.3</v>
      </c>
      <c r="F96" s="18">
        <v>2</v>
      </c>
      <c r="G96" s="18">
        <v>0.15</v>
      </c>
      <c r="H96" s="19">
        <v>45557</v>
      </c>
      <c r="I96" s="20">
        <v>328.54</v>
      </c>
      <c r="J96" s="12">
        <f t="shared" si="3"/>
        <v>966.3</v>
      </c>
      <c r="K96" s="11" t="str">
        <f t="shared" si="4"/>
        <v>Sep-2024</v>
      </c>
    </row>
    <row r="97" spans="1:11" ht="19.8" customHeight="1" x14ac:dyDescent="0.3">
      <c r="A97" s="16" t="s">
        <v>186</v>
      </c>
      <c r="B97" s="17" t="s">
        <v>14</v>
      </c>
      <c r="C97" s="17" t="s">
        <v>16</v>
      </c>
      <c r="D97" s="17" t="s">
        <v>11</v>
      </c>
      <c r="E97" s="18">
        <v>917.48</v>
      </c>
      <c r="F97" s="18">
        <v>6</v>
      </c>
      <c r="G97" s="18">
        <v>0</v>
      </c>
      <c r="H97" s="19">
        <v>45558</v>
      </c>
      <c r="I97" s="20">
        <v>366.99</v>
      </c>
      <c r="J97" s="12">
        <f t="shared" si="3"/>
        <v>917.48</v>
      </c>
      <c r="K97" s="11" t="str">
        <f t="shared" si="4"/>
        <v>Sep-2024</v>
      </c>
    </row>
    <row r="98" spans="1:11" ht="19.8" customHeight="1" x14ac:dyDescent="0.3">
      <c r="A98" s="16" t="s">
        <v>187</v>
      </c>
      <c r="B98" s="17" t="s">
        <v>40</v>
      </c>
      <c r="C98" s="17" t="s">
        <v>10</v>
      </c>
      <c r="D98" s="17" t="s">
        <v>21</v>
      </c>
      <c r="E98" s="18">
        <v>1172.97</v>
      </c>
      <c r="F98" s="18">
        <v>7</v>
      </c>
      <c r="G98" s="18">
        <v>0.15</v>
      </c>
      <c r="H98" s="19">
        <v>45559</v>
      </c>
      <c r="I98" s="20">
        <v>348.96</v>
      </c>
      <c r="J98" s="12">
        <f t="shared" si="3"/>
        <v>1172.97</v>
      </c>
      <c r="K98" s="11" t="str">
        <f t="shared" si="4"/>
        <v>Sep-2024</v>
      </c>
    </row>
    <row r="99" spans="1:11" ht="19.8" customHeight="1" x14ac:dyDescent="0.3">
      <c r="A99" s="16" t="s">
        <v>188</v>
      </c>
      <c r="B99" s="17" t="s">
        <v>18</v>
      </c>
      <c r="C99" s="17" t="s">
        <v>19</v>
      </c>
      <c r="D99" s="17" t="s">
        <v>13</v>
      </c>
      <c r="E99" s="18">
        <v>1205.82</v>
      </c>
      <c r="F99" s="18">
        <v>11</v>
      </c>
      <c r="G99" s="18">
        <v>0.1</v>
      </c>
      <c r="H99" s="19">
        <v>45559</v>
      </c>
      <c r="I99" s="20">
        <v>542.62</v>
      </c>
      <c r="J99" s="12">
        <f t="shared" si="3"/>
        <v>1205.82</v>
      </c>
      <c r="K99" s="11" t="str">
        <f t="shared" si="4"/>
        <v>Sep-2024</v>
      </c>
    </row>
    <row r="100" spans="1:11" ht="19.8" customHeight="1" x14ac:dyDescent="0.3">
      <c r="A100" s="16" t="s">
        <v>189</v>
      </c>
      <c r="B100" s="17" t="s">
        <v>42</v>
      </c>
      <c r="C100" s="17" t="s">
        <v>10</v>
      </c>
      <c r="D100" s="17" t="s">
        <v>28</v>
      </c>
      <c r="E100" s="18">
        <v>826.93</v>
      </c>
      <c r="F100" s="18">
        <v>10</v>
      </c>
      <c r="G100" s="18">
        <v>0.2</v>
      </c>
      <c r="H100" s="19">
        <v>45564</v>
      </c>
      <c r="I100" s="20">
        <v>297.69</v>
      </c>
      <c r="J100" s="12">
        <f t="shared" si="3"/>
        <v>826.93</v>
      </c>
      <c r="K100" s="11" t="str">
        <f t="shared" si="4"/>
        <v>Sep-2024</v>
      </c>
    </row>
    <row r="101" spans="1:11" ht="19.8" customHeight="1" x14ac:dyDescent="0.3">
      <c r="A101" s="16" t="s">
        <v>190</v>
      </c>
      <c r="B101" s="17" t="s">
        <v>18</v>
      </c>
      <c r="C101" s="17" t="s">
        <v>25</v>
      </c>
      <c r="D101" s="17" t="s">
        <v>13</v>
      </c>
      <c r="E101" s="18">
        <v>902.19</v>
      </c>
      <c r="F101" s="18">
        <v>12</v>
      </c>
      <c r="G101" s="18">
        <v>0</v>
      </c>
      <c r="H101" s="19">
        <v>45564</v>
      </c>
      <c r="I101" s="20">
        <v>451.1</v>
      </c>
      <c r="J101" s="12">
        <f t="shared" si="3"/>
        <v>902.19</v>
      </c>
      <c r="K101" s="11" t="str">
        <f t="shared" si="4"/>
        <v>Sep-2024</v>
      </c>
    </row>
    <row r="102" spans="1:11" ht="19.8" customHeight="1" x14ac:dyDescent="0.3">
      <c r="A102" s="16" t="s">
        <v>191</v>
      </c>
      <c r="B102" s="17" t="s">
        <v>27</v>
      </c>
      <c r="C102" s="17" t="s">
        <v>19</v>
      </c>
      <c r="D102" s="17" t="s">
        <v>11</v>
      </c>
      <c r="E102" s="18">
        <v>585.97</v>
      </c>
      <c r="F102" s="18">
        <v>17</v>
      </c>
      <c r="G102" s="18">
        <v>0.1</v>
      </c>
      <c r="H102" s="19">
        <v>45565</v>
      </c>
      <c r="I102" s="20">
        <v>210.95</v>
      </c>
      <c r="J102" s="12">
        <f t="shared" si="3"/>
        <v>585.97</v>
      </c>
      <c r="K102" s="11" t="str">
        <f t="shared" si="4"/>
        <v>Sep-2024</v>
      </c>
    </row>
    <row r="103" spans="1:11" ht="19.8" customHeight="1" x14ac:dyDescent="0.3">
      <c r="A103" s="16" t="s">
        <v>192</v>
      </c>
      <c r="B103" s="17" t="s">
        <v>20</v>
      </c>
      <c r="C103" s="17" t="s">
        <v>19</v>
      </c>
      <c r="D103" s="17" t="s">
        <v>13</v>
      </c>
      <c r="E103" s="18">
        <v>990.19</v>
      </c>
      <c r="F103" s="18">
        <v>8</v>
      </c>
      <c r="G103" s="18">
        <v>0.1</v>
      </c>
      <c r="H103" s="19">
        <v>45565</v>
      </c>
      <c r="I103" s="20">
        <v>445.59</v>
      </c>
      <c r="J103" s="12">
        <f t="shared" si="3"/>
        <v>990.19</v>
      </c>
      <c r="K103" s="11" t="str">
        <f t="shared" si="4"/>
        <v>Sep-2024</v>
      </c>
    </row>
    <row r="104" spans="1:11" ht="19.8" customHeight="1" x14ac:dyDescent="0.3">
      <c r="A104" s="16" t="s">
        <v>193</v>
      </c>
      <c r="B104" s="17" t="s">
        <v>38</v>
      </c>
      <c r="C104" s="17" t="s">
        <v>25</v>
      </c>
      <c r="D104" s="17" t="s">
        <v>17</v>
      </c>
      <c r="E104" s="18">
        <v>1014.09</v>
      </c>
      <c r="F104" s="18">
        <v>13</v>
      </c>
      <c r="G104" s="18">
        <v>0.2</v>
      </c>
      <c r="H104" s="19">
        <v>45567</v>
      </c>
      <c r="I104" s="20">
        <v>202.82</v>
      </c>
      <c r="J104" s="12">
        <f t="shared" si="3"/>
        <v>1014.09</v>
      </c>
      <c r="K104" s="11" t="str">
        <f t="shared" si="4"/>
        <v>Oct-2024</v>
      </c>
    </row>
    <row r="105" spans="1:11" ht="19.8" customHeight="1" x14ac:dyDescent="0.3">
      <c r="A105" s="16" t="s">
        <v>194</v>
      </c>
      <c r="B105" s="17" t="s">
        <v>33</v>
      </c>
      <c r="C105" s="17" t="s">
        <v>19</v>
      </c>
      <c r="D105" s="17" t="s">
        <v>17</v>
      </c>
      <c r="E105" s="18">
        <v>925.29</v>
      </c>
      <c r="F105" s="18">
        <v>17</v>
      </c>
      <c r="G105" s="18">
        <v>0</v>
      </c>
      <c r="H105" s="19">
        <v>45570</v>
      </c>
      <c r="I105" s="20">
        <v>231.32</v>
      </c>
      <c r="J105" s="12">
        <f t="shared" si="3"/>
        <v>925.29</v>
      </c>
      <c r="K105" s="11" t="str">
        <f t="shared" si="4"/>
        <v>Oct-2024</v>
      </c>
    </row>
    <row r="106" spans="1:11" ht="19.8" customHeight="1" x14ac:dyDescent="0.3">
      <c r="A106" s="16" t="s">
        <v>195</v>
      </c>
      <c r="B106" s="17" t="s">
        <v>32</v>
      </c>
      <c r="C106" s="17" t="s">
        <v>15</v>
      </c>
      <c r="D106" s="17" t="s">
        <v>21</v>
      </c>
      <c r="E106" s="18">
        <v>1286.54</v>
      </c>
      <c r="F106" s="18">
        <v>8</v>
      </c>
      <c r="G106" s="18">
        <v>0</v>
      </c>
      <c r="H106" s="19">
        <v>45575</v>
      </c>
      <c r="I106" s="20">
        <v>450.29</v>
      </c>
      <c r="J106" s="12">
        <f t="shared" si="3"/>
        <v>1286.54</v>
      </c>
      <c r="K106" s="11" t="str">
        <f t="shared" si="4"/>
        <v>Oct-2024</v>
      </c>
    </row>
    <row r="107" spans="1:11" ht="19.8" customHeight="1" x14ac:dyDescent="0.3">
      <c r="A107" s="16" t="s">
        <v>196</v>
      </c>
      <c r="B107" s="17" t="s">
        <v>42</v>
      </c>
      <c r="C107" s="17" t="s">
        <v>16</v>
      </c>
      <c r="D107" s="17" t="s">
        <v>11</v>
      </c>
      <c r="E107" s="18">
        <v>961.62</v>
      </c>
      <c r="F107" s="18">
        <v>8</v>
      </c>
      <c r="G107" s="18">
        <v>0.2</v>
      </c>
      <c r="H107" s="19">
        <v>45577</v>
      </c>
      <c r="I107" s="20">
        <v>307.72000000000003</v>
      </c>
      <c r="J107" s="12">
        <f t="shared" si="3"/>
        <v>961.62</v>
      </c>
      <c r="K107" s="11" t="str">
        <f t="shared" si="4"/>
        <v>Oct-2024</v>
      </c>
    </row>
    <row r="108" spans="1:11" ht="19.8" customHeight="1" x14ac:dyDescent="0.3">
      <c r="A108" s="16" t="s">
        <v>197</v>
      </c>
      <c r="B108" s="17" t="s">
        <v>18</v>
      </c>
      <c r="C108" s="17" t="s">
        <v>15</v>
      </c>
      <c r="D108" s="17" t="s">
        <v>11</v>
      </c>
      <c r="E108" s="18">
        <v>1081.1400000000001</v>
      </c>
      <c r="F108" s="18">
        <v>19</v>
      </c>
      <c r="G108" s="18">
        <v>0.15</v>
      </c>
      <c r="H108" s="19">
        <v>45577</v>
      </c>
      <c r="I108" s="20">
        <v>367.59</v>
      </c>
      <c r="J108" s="12">
        <f t="shared" si="3"/>
        <v>1081.1400000000001</v>
      </c>
      <c r="K108" s="11" t="str">
        <f t="shared" si="4"/>
        <v>Oct-2024</v>
      </c>
    </row>
    <row r="109" spans="1:11" ht="19.8" customHeight="1" x14ac:dyDescent="0.3">
      <c r="A109" s="16" t="s">
        <v>198</v>
      </c>
      <c r="B109" s="17" t="s">
        <v>18</v>
      </c>
      <c r="C109" s="17" t="s">
        <v>10</v>
      </c>
      <c r="D109" s="17" t="s">
        <v>13</v>
      </c>
      <c r="E109" s="18">
        <v>1923.66</v>
      </c>
      <c r="F109" s="18">
        <v>9</v>
      </c>
      <c r="G109" s="18">
        <v>0.2</v>
      </c>
      <c r="H109" s="19">
        <v>45580</v>
      </c>
      <c r="I109" s="20">
        <v>769.46</v>
      </c>
      <c r="J109" s="12">
        <f t="shared" si="3"/>
        <v>1923.66</v>
      </c>
      <c r="K109" s="11" t="str">
        <f t="shared" si="4"/>
        <v>Oct-2024</v>
      </c>
    </row>
    <row r="110" spans="1:11" ht="19.8" customHeight="1" x14ac:dyDescent="0.3">
      <c r="A110" s="16" t="s">
        <v>199</v>
      </c>
      <c r="B110" s="17" t="s">
        <v>43</v>
      </c>
      <c r="C110" s="17" t="s">
        <v>25</v>
      </c>
      <c r="D110" s="17" t="s">
        <v>13</v>
      </c>
      <c r="E110" s="18">
        <v>728.71</v>
      </c>
      <c r="F110" s="18">
        <v>14</v>
      </c>
      <c r="G110" s="18">
        <v>0.1</v>
      </c>
      <c r="H110" s="19">
        <v>45581</v>
      </c>
      <c r="I110" s="20">
        <v>327.92</v>
      </c>
      <c r="J110" s="12">
        <f t="shared" si="3"/>
        <v>728.71</v>
      </c>
      <c r="K110" s="11" t="str">
        <f t="shared" si="4"/>
        <v>Oct-2024</v>
      </c>
    </row>
    <row r="111" spans="1:11" ht="19.8" customHeight="1" x14ac:dyDescent="0.3">
      <c r="A111" s="16" t="s">
        <v>200</v>
      </c>
      <c r="B111" s="17" t="s">
        <v>24</v>
      </c>
      <c r="C111" s="17" t="s">
        <v>25</v>
      </c>
      <c r="D111" s="17" t="s">
        <v>13</v>
      </c>
      <c r="E111" s="18">
        <v>1301.8900000000001</v>
      </c>
      <c r="F111" s="18">
        <v>7</v>
      </c>
      <c r="G111" s="18">
        <v>0.15</v>
      </c>
      <c r="H111" s="19">
        <v>45581</v>
      </c>
      <c r="I111" s="20">
        <v>553.29999999999995</v>
      </c>
      <c r="J111" s="12">
        <f t="shared" si="3"/>
        <v>1301.8900000000001</v>
      </c>
      <c r="K111" s="11" t="str">
        <f t="shared" si="4"/>
        <v>Oct-2024</v>
      </c>
    </row>
    <row r="112" spans="1:11" ht="19.8" customHeight="1" x14ac:dyDescent="0.3">
      <c r="A112" s="16" t="s">
        <v>201</v>
      </c>
      <c r="B112" s="17" t="s">
        <v>43</v>
      </c>
      <c r="C112" s="17" t="s">
        <v>15</v>
      </c>
      <c r="D112" s="17" t="s">
        <v>11</v>
      </c>
      <c r="E112" s="18">
        <v>980.18</v>
      </c>
      <c r="F112" s="18">
        <v>16</v>
      </c>
      <c r="G112" s="18">
        <v>0.1</v>
      </c>
      <c r="H112" s="19">
        <v>45582</v>
      </c>
      <c r="I112" s="20">
        <v>352.86</v>
      </c>
      <c r="J112" s="12">
        <f t="shared" si="3"/>
        <v>980.18</v>
      </c>
      <c r="K112" s="11" t="str">
        <f t="shared" si="4"/>
        <v>Oct-2024</v>
      </c>
    </row>
    <row r="113" spans="1:11" ht="19.8" customHeight="1" x14ac:dyDescent="0.3">
      <c r="A113" s="16" t="s">
        <v>202</v>
      </c>
      <c r="B113" s="17" t="s">
        <v>18</v>
      </c>
      <c r="C113" s="17" t="s">
        <v>10</v>
      </c>
      <c r="D113" s="17" t="s">
        <v>13</v>
      </c>
      <c r="E113" s="18">
        <v>697.57</v>
      </c>
      <c r="F113" s="18">
        <v>17</v>
      </c>
      <c r="G113" s="18">
        <v>0.1</v>
      </c>
      <c r="H113" s="19">
        <v>45584</v>
      </c>
      <c r="I113" s="20">
        <v>313.91000000000003</v>
      </c>
      <c r="J113" s="12">
        <f t="shared" si="3"/>
        <v>697.57</v>
      </c>
      <c r="K113" s="11" t="str">
        <f t="shared" si="4"/>
        <v>Oct-2024</v>
      </c>
    </row>
    <row r="114" spans="1:11" ht="19.8" customHeight="1" x14ac:dyDescent="0.3">
      <c r="A114" s="16" t="s">
        <v>203</v>
      </c>
      <c r="B114" s="17" t="s">
        <v>45</v>
      </c>
      <c r="C114" s="17" t="s">
        <v>10</v>
      </c>
      <c r="D114" s="17" t="s">
        <v>21</v>
      </c>
      <c r="E114" s="18">
        <v>1193.6099999999999</v>
      </c>
      <c r="F114" s="18">
        <v>1</v>
      </c>
      <c r="G114" s="18">
        <v>0.15</v>
      </c>
      <c r="H114" s="19">
        <v>45584</v>
      </c>
      <c r="I114" s="20">
        <v>355.1</v>
      </c>
      <c r="J114" s="12">
        <f t="shared" si="3"/>
        <v>1193.6099999999999</v>
      </c>
      <c r="K114" s="11" t="str">
        <f t="shared" si="4"/>
        <v>Oct-2024</v>
      </c>
    </row>
    <row r="115" spans="1:11" ht="19.8" customHeight="1" x14ac:dyDescent="0.3">
      <c r="A115" s="16" t="s">
        <v>204</v>
      </c>
      <c r="B115" s="17" t="s">
        <v>27</v>
      </c>
      <c r="C115" s="17" t="s">
        <v>16</v>
      </c>
      <c r="D115" s="17" t="s">
        <v>17</v>
      </c>
      <c r="E115" s="18">
        <v>771.02</v>
      </c>
      <c r="F115" s="18">
        <v>1</v>
      </c>
      <c r="G115" s="18">
        <v>0</v>
      </c>
      <c r="H115" s="19">
        <v>45585</v>
      </c>
      <c r="I115" s="20">
        <v>192.76</v>
      </c>
      <c r="J115" s="12">
        <f t="shared" si="3"/>
        <v>771.02</v>
      </c>
      <c r="K115" s="11" t="str">
        <f t="shared" si="4"/>
        <v>Oct-2024</v>
      </c>
    </row>
    <row r="116" spans="1:11" ht="19.8" customHeight="1" x14ac:dyDescent="0.3">
      <c r="A116" s="16" t="s">
        <v>205</v>
      </c>
      <c r="B116" s="17" t="s">
        <v>44</v>
      </c>
      <c r="C116" s="17" t="s">
        <v>19</v>
      </c>
      <c r="D116" s="17" t="s">
        <v>13</v>
      </c>
      <c r="E116" s="18">
        <v>661.09</v>
      </c>
      <c r="F116" s="18">
        <v>1</v>
      </c>
      <c r="G116" s="18">
        <v>0.2</v>
      </c>
      <c r="H116" s="19">
        <v>45593</v>
      </c>
      <c r="I116" s="20">
        <v>264.44</v>
      </c>
      <c r="J116" s="12">
        <f t="shared" si="3"/>
        <v>661.09</v>
      </c>
      <c r="K116" s="11" t="str">
        <f t="shared" si="4"/>
        <v>Oct-2024</v>
      </c>
    </row>
    <row r="117" spans="1:11" ht="19.8" customHeight="1" x14ac:dyDescent="0.3">
      <c r="A117" s="16" t="s">
        <v>206</v>
      </c>
      <c r="B117" s="17" t="s">
        <v>37</v>
      </c>
      <c r="C117" s="17" t="s">
        <v>10</v>
      </c>
      <c r="D117" s="17" t="s">
        <v>17</v>
      </c>
      <c r="E117" s="18">
        <v>688.83</v>
      </c>
      <c r="F117" s="18">
        <v>15</v>
      </c>
      <c r="G117" s="18">
        <v>0</v>
      </c>
      <c r="H117" s="19">
        <v>45595</v>
      </c>
      <c r="I117" s="20">
        <v>172.21</v>
      </c>
      <c r="J117" s="12">
        <f t="shared" si="3"/>
        <v>688.83</v>
      </c>
      <c r="K117" s="11" t="str">
        <f t="shared" si="4"/>
        <v>Oct-2024</v>
      </c>
    </row>
    <row r="118" spans="1:11" ht="19.8" customHeight="1" x14ac:dyDescent="0.3">
      <c r="A118" s="16" t="s">
        <v>207</v>
      </c>
      <c r="B118" s="17" t="s">
        <v>22</v>
      </c>
      <c r="C118" s="17" t="s">
        <v>25</v>
      </c>
      <c r="D118" s="17" t="s">
        <v>11</v>
      </c>
      <c r="E118" s="18">
        <v>1249.0999999999999</v>
      </c>
      <c r="F118" s="18">
        <v>4</v>
      </c>
      <c r="G118" s="18">
        <v>0.05</v>
      </c>
      <c r="H118" s="19">
        <v>45597</v>
      </c>
      <c r="I118" s="20">
        <v>474.66</v>
      </c>
      <c r="J118" s="12">
        <f t="shared" si="3"/>
        <v>1249.0999999999999</v>
      </c>
      <c r="K118" s="11" t="str">
        <f t="shared" si="4"/>
        <v>Nov-2024</v>
      </c>
    </row>
    <row r="119" spans="1:11" ht="19.8" customHeight="1" x14ac:dyDescent="0.3">
      <c r="A119" s="16" t="s">
        <v>208</v>
      </c>
      <c r="B119" s="17" t="s">
        <v>18</v>
      </c>
      <c r="C119" s="17" t="s">
        <v>15</v>
      </c>
      <c r="D119" s="17" t="s">
        <v>28</v>
      </c>
      <c r="E119" s="18">
        <v>1014.22</v>
      </c>
      <c r="F119" s="18">
        <v>14</v>
      </c>
      <c r="G119" s="18">
        <v>0.05</v>
      </c>
      <c r="H119" s="19">
        <v>45599</v>
      </c>
      <c r="I119" s="20">
        <v>433.58</v>
      </c>
      <c r="J119" s="12">
        <f t="shared" si="3"/>
        <v>1014.22</v>
      </c>
      <c r="K119" s="11" t="str">
        <f t="shared" si="4"/>
        <v>Nov-2024</v>
      </c>
    </row>
    <row r="120" spans="1:11" ht="19.8" customHeight="1" x14ac:dyDescent="0.3">
      <c r="A120" s="16" t="s">
        <v>209</v>
      </c>
      <c r="B120" s="17" t="s">
        <v>33</v>
      </c>
      <c r="C120" s="17" t="s">
        <v>15</v>
      </c>
      <c r="D120" s="17" t="s">
        <v>11</v>
      </c>
      <c r="E120" s="18">
        <v>1010.58</v>
      </c>
      <c r="F120" s="18">
        <v>2</v>
      </c>
      <c r="G120" s="18">
        <v>0.15</v>
      </c>
      <c r="H120" s="19">
        <v>45605</v>
      </c>
      <c r="I120" s="20">
        <v>343.6</v>
      </c>
      <c r="J120" s="12">
        <f t="shared" si="3"/>
        <v>1010.58</v>
      </c>
      <c r="K120" s="11" t="str">
        <f t="shared" si="4"/>
        <v>Nov-2024</v>
      </c>
    </row>
    <row r="121" spans="1:11" ht="19.8" customHeight="1" x14ac:dyDescent="0.3">
      <c r="A121" s="16" t="s">
        <v>210</v>
      </c>
      <c r="B121" s="17" t="s">
        <v>39</v>
      </c>
      <c r="C121" s="17" t="s">
        <v>19</v>
      </c>
      <c r="D121" s="17" t="s">
        <v>21</v>
      </c>
      <c r="E121" s="18">
        <v>957.29</v>
      </c>
      <c r="F121" s="18">
        <v>4</v>
      </c>
      <c r="G121" s="18">
        <v>0.05</v>
      </c>
      <c r="H121" s="19">
        <v>45605</v>
      </c>
      <c r="I121" s="20">
        <v>318.3</v>
      </c>
      <c r="J121" s="12">
        <f t="shared" si="3"/>
        <v>957.29</v>
      </c>
      <c r="K121" s="11" t="str">
        <f t="shared" si="4"/>
        <v>Nov-2024</v>
      </c>
    </row>
    <row r="122" spans="1:11" ht="19.8" customHeight="1" x14ac:dyDescent="0.3">
      <c r="A122" s="16" t="s">
        <v>211</v>
      </c>
      <c r="B122" s="17" t="s">
        <v>31</v>
      </c>
      <c r="C122" s="17" t="s">
        <v>19</v>
      </c>
      <c r="D122" s="17" t="s">
        <v>21</v>
      </c>
      <c r="E122" s="18">
        <v>1077.92</v>
      </c>
      <c r="F122" s="18">
        <v>3</v>
      </c>
      <c r="G122" s="18">
        <v>0.05</v>
      </c>
      <c r="H122" s="19">
        <v>45608</v>
      </c>
      <c r="I122" s="20">
        <v>358.41</v>
      </c>
      <c r="J122" s="12">
        <f t="shared" si="3"/>
        <v>1077.92</v>
      </c>
      <c r="K122" s="11" t="str">
        <f t="shared" si="4"/>
        <v>Nov-2024</v>
      </c>
    </row>
    <row r="123" spans="1:11" ht="19.8" customHeight="1" x14ac:dyDescent="0.3">
      <c r="A123" s="16" t="s">
        <v>212</v>
      </c>
      <c r="B123" s="17" t="s">
        <v>34</v>
      </c>
      <c r="C123" s="17" t="s">
        <v>16</v>
      </c>
      <c r="D123" s="17" t="s">
        <v>13</v>
      </c>
      <c r="E123" s="18">
        <v>1163.01</v>
      </c>
      <c r="F123" s="18">
        <v>5</v>
      </c>
      <c r="G123" s="18">
        <v>0</v>
      </c>
      <c r="H123" s="19">
        <v>45611</v>
      </c>
      <c r="I123" s="20">
        <v>581.5</v>
      </c>
      <c r="J123" s="12">
        <f t="shared" si="3"/>
        <v>1163.01</v>
      </c>
      <c r="K123" s="11" t="str">
        <f t="shared" si="4"/>
        <v>Nov-2024</v>
      </c>
    </row>
    <row r="124" spans="1:11" ht="19.8" customHeight="1" x14ac:dyDescent="0.3">
      <c r="A124" s="16" t="s">
        <v>213</v>
      </c>
      <c r="B124" s="17" t="s">
        <v>31</v>
      </c>
      <c r="C124" s="17" t="s">
        <v>15</v>
      </c>
      <c r="D124" s="17" t="s">
        <v>28</v>
      </c>
      <c r="E124" s="18">
        <v>1014.56</v>
      </c>
      <c r="F124" s="18">
        <v>10</v>
      </c>
      <c r="G124" s="18">
        <v>0.1</v>
      </c>
      <c r="H124" s="19">
        <v>45612</v>
      </c>
      <c r="I124" s="20">
        <v>410.9</v>
      </c>
      <c r="J124" s="12">
        <f t="shared" si="3"/>
        <v>1014.56</v>
      </c>
      <c r="K124" s="11" t="str">
        <f t="shared" si="4"/>
        <v>Nov-2024</v>
      </c>
    </row>
    <row r="125" spans="1:11" ht="19.8" customHeight="1" x14ac:dyDescent="0.3">
      <c r="A125" s="16" t="s">
        <v>214</v>
      </c>
      <c r="B125" s="17" t="s">
        <v>14</v>
      </c>
      <c r="C125" s="17" t="s">
        <v>16</v>
      </c>
      <c r="D125" s="17" t="s">
        <v>17</v>
      </c>
      <c r="E125" s="18">
        <v>718.04</v>
      </c>
      <c r="F125" s="18">
        <v>14</v>
      </c>
      <c r="G125" s="18">
        <v>0</v>
      </c>
      <c r="H125" s="19">
        <v>45613</v>
      </c>
      <c r="I125" s="20">
        <v>179.51</v>
      </c>
      <c r="J125" s="12">
        <f t="shared" si="3"/>
        <v>718.04</v>
      </c>
      <c r="K125" s="11" t="str">
        <f t="shared" si="4"/>
        <v>Nov-2024</v>
      </c>
    </row>
    <row r="126" spans="1:11" ht="19.8" customHeight="1" x14ac:dyDescent="0.3">
      <c r="A126" s="16" t="s">
        <v>215</v>
      </c>
      <c r="B126" s="17" t="s">
        <v>14</v>
      </c>
      <c r="C126" s="17" t="s">
        <v>25</v>
      </c>
      <c r="D126" s="17" t="s">
        <v>13</v>
      </c>
      <c r="E126" s="18">
        <v>1277.8499999999999</v>
      </c>
      <c r="F126" s="18">
        <v>18</v>
      </c>
      <c r="G126" s="18">
        <v>0.2</v>
      </c>
      <c r="H126" s="19">
        <v>45613</v>
      </c>
      <c r="I126" s="20">
        <v>511.14</v>
      </c>
      <c r="J126" s="12">
        <f t="shared" si="3"/>
        <v>1277.8499999999999</v>
      </c>
      <c r="K126" s="11" t="str">
        <f t="shared" si="4"/>
        <v>Nov-2024</v>
      </c>
    </row>
    <row r="127" spans="1:11" ht="19.8" customHeight="1" x14ac:dyDescent="0.3">
      <c r="A127" s="16" t="s">
        <v>216</v>
      </c>
      <c r="B127" s="17" t="s">
        <v>18</v>
      </c>
      <c r="C127" s="17" t="s">
        <v>19</v>
      </c>
      <c r="D127" s="17" t="s">
        <v>17</v>
      </c>
      <c r="E127" s="18">
        <v>706.73</v>
      </c>
      <c r="F127" s="18">
        <v>1</v>
      </c>
      <c r="G127" s="18">
        <v>0.15</v>
      </c>
      <c r="H127" s="19">
        <v>45613</v>
      </c>
      <c r="I127" s="20">
        <v>150.18</v>
      </c>
      <c r="J127" s="12">
        <f t="shared" si="3"/>
        <v>706.73</v>
      </c>
      <c r="K127" s="11" t="str">
        <f t="shared" si="4"/>
        <v>Nov-2024</v>
      </c>
    </row>
    <row r="128" spans="1:11" ht="19.8" customHeight="1" x14ac:dyDescent="0.3">
      <c r="A128" s="16" t="s">
        <v>217</v>
      </c>
      <c r="B128" s="17" t="s">
        <v>34</v>
      </c>
      <c r="C128" s="17" t="s">
        <v>15</v>
      </c>
      <c r="D128" s="17" t="s">
        <v>17</v>
      </c>
      <c r="E128" s="18">
        <v>1410.59</v>
      </c>
      <c r="F128" s="18">
        <v>15</v>
      </c>
      <c r="G128" s="18">
        <v>0</v>
      </c>
      <c r="H128" s="19">
        <v>45615</v>
      </c>
      <c r="I128" s="20">
        <v>352.65</v>
      </c>
      <c r="J128" s="12">
        <f t="shared" si="3"/>
        <v>1410.59</v>
      </c>
      <c r="K128" s="11" t="str">
        <f t="shared" si="4"/>
        <v>Nov-2024</v>
      </c>
    </row>
    <row r="129" spans="1:11" ht="19.8" customHeight="1" x14ac:dyDescent="0.3">
      <c r="A129" s="16" t="s">
        <v>218</v>
      </c>
      <c r="B129" s="17" t="s">
        <v>40</v>
      </c>
      <c r="C129" s="17" t="s">
        <v>16</v>
      </c>
      <c r="D129" s="17" t="s">
        <v>21</v>
      </c>
      <c r="E129" s="18">
        <v>1350.33</v>
      </c>
      <c r="F129" s="18">
        <v>10</v>
      </c>
      <c r="G129" s="18">
        <v>0</v>
      </c>
      <c r="H129" s="19">
        <v>45615</v>
      </c>
      <c r="I129" s="20">
        <v>472.62</v>
      </c>
      <c r="J129" s="12">
        <f t="shared" si="3"/>
        <v>1350.33</v>
      </c>
      <c r="K129" s="11" t="str">
        <f t="shared" si="4"/>
        <v>Nov-2024</v>
      </c>
    </row>
    <row r="130" spans="1:11" ht="19.8" customHeight="1" x14ac:dyDescent="0.3">
      <c r="A130" s="16" t="s">
        <v>219</v>
      </c>
      <c r="B130" s="17" t="s">
        <v>31</v>
      </c>
      <c r="C130" s="17" t="s">
        <v>15</v>
      </c>
      <c r="D130" s="17" t="s">
        <v>17</v>
      </c>
      <c r="E130" s="18">
        <v>919.18</v>
      </c>
      <c r="F130" s="18">
        <v>4</v>
      </c>
      <c r="G130" s="18">
        <v>0.15</v>
      </c>
      <c r="H130" s="19">
        <v>45615</v>
      </c>
      <c r="I130" s="20">
        <v>195.33</v>
      </c>
      <c r="J130" s="12">
        <f t="shared" si="3"/>
        <v>919.18</v>
      </c>
      <c r="K130" s="11" t="str">
        <f t="shared" si="4"/>
        <v>Nov-2024</v>
      </c>
    </row>
    <row r="131" spans="1:11" ht="19.8" customHeight="1" x14ac:dyDescent="0.3">
      <c r="A131" s="16" t="s">
        <v>220</v>
      </c>
      <c r="B131" s="17" t="s">
        <v>18</v>
      </c>
      <c r="C131" s="17" t="s">
        <v>10</v>
      </c>
      <c r="D131" s="17" t="s">
        <v>17</v>
      </c>
      <c r="E131" s="18">
        <v>258.51</v>
      </c>
      <c r="F131" s="18">
        <v>19</v>
      </c>
      <c r="G131" s="18">
        <v>0</v>
      </c>
      <c r="H131" s="19">
        <v>45616</v>
      </c>
      <c r="I131" s="20">
        <v>64.63</v>
      </c>
      <c r="J131" s="12">
        <f t="shared" ref="J131:J194" si="5">SUMIF($A:$A,A131,$E:$E)</f>
        <v>258.51</v>
      </c>
      <c r="K131" s="11" t="str">
        <f t="shared" ref="K131:K194" si="6">TEXT(H131, "MMM-YYYY")</f>
        <v>Nov-2024</v>
      </c>
    </row>
    <row r="132" spans="1:11" ht="19.8" customHeight="1" x14ac:dyDescent="0.3">
      <c r="A132" s="16" t="s">
        <v>221</v>
      </c>
      <c r="B132" s="17" t="s">
        <v>40</v>
      </c>
      <c r="C132" s="17" t="s">
        <v>15</v>
      </c>
      <c r="D132" s="17" t="s">
        <v>11</v>
      </c>
      <c r="E132" s="18">
        <v>1213.48</v>
      </c>
      <c r="F132" s="18">
        <v>5</v>
      </c>
      <c r="G132" s="18">
        <v>0.05</v>
      </c>
      <c r="H132" s="19">
        <v>45616</v>
      </c>
      <c r="I132" s="20">
        <v>461.12</v>
      </c>
      <c r="J132" s="12">
        <f t="shared" si="5"/>
        <v>1213.48</v>
      </c>
      <c r="K132" s="11" t="str">
        <f t="shared" si="6"/>
        <v>Nov-2024</v>
      </c>
    </row>
    <row r="133" spans="1:11" ht="19.8" customHeight="1" x14ac:dyDescent="0.3">
      <c r="A133" s="16" t="s">
        <v>222</v>
      </c>
      <c r="B133" s="17" t="s">
        <v>27</v>
      </c>
      <c r="C133" s="17" t="s">
        <v>25</v>
      </c>
      <c r="D133" s="17" t="s">
        <v>11</v>
      </c>
      <c r="E133" s="18">
        <v>1150.28</v>
      </c>
      <c r="F133" s="18">
        <v>8</v>
      </c>
      <c r="G133" s="18">
        <v>0.05</v>
      </c>
      <c r="H133" s="19">
        <v>45622</v>
      </c>
      <c r="I133" s="20">
        <v>437.11</v>
      </c>
      <c r="J133" s="12">
        <f t="shared" si="5"/>
        <v>1150.28</v>
      </c>
      <c r="K133" s="11" t="str">
        <f t="shared" si="6"/>
        <v>Nov-2024</v>
      </c>
    </row>
    <row r="134" spans="1:11" ht="19.8" customHeight="1" x14ac:dyDescent="0.3">
      <c r="A134" s="16" t="s">
        <v>223</v>
      </c>
      <c r="B134" s="17" t="s">
        <v>45</v>
      </c>
      <c r="C134" s="17" t="s">
        <v>16</v>
      </c>
      <c r="D134" s="17" t="s">
        <v>21</v>
      </c>
      <c r="E134" s="18">
        <v>853.86</v>
      </c>
      <c r="F134" s="18">
        <v>8</v>
      </c>
      <c r="G134" s="18">
        <v>0.1</v>
      </c>
      <c r="H134" s="19">
        <v>45622</v>
      </c>
      <c r="I134" s="20">
        <v>268.97000000000003</v>
      </c>
      <c r="J134" s="12">
        <f t="shared" si="5"/>
        <v>853.86</v>
      </c>
      <c r="K134" s="11" t="str">
        <f t="shared" si="6"/>
        <v>Nov-2024</v>
      </c>
    </row>
    <row r="135" spans="1:11" ht="19.8" customHeight="1" x14ac:dyDescent="0.3">
      <c r="A135" s="16" t="s">
        <v>224</v>
      </c>
      <c r="B135" s="17" t="s">
        <v>31</v>
      </c>
      <c r="C135" s="17" t="s">
        <v>16</v>
      </c>
      <c r="D135" s="17" t="s">
        <v>17</v>
      </c>
      <c r="E135" s="18">
        <v>1061.04</v>
      </c>
      <c r="F135" s="18">
        <v>1</v>
      </c>
      <c r="G135" s="18">
        <v>0</v>
      </c>
      <c r="H135" s="19">
        <v>45624</v>
      </c>
      <c r="I135" s="20">
        <v>265.26</v>
      </c>
      <c r="J135" s="12">
        <f t="shared" si="5"/>
        <v>1061.04</v>
      </c>
      <c r="K135" s="11" t="str">
        <f t="shared" si="6"/>
        <v>Nov-2024</v>
      </c>
    </row>
    <row r="136" spans="1:11" ht="19.8" customHeight="1" x14ac:dyDescent="0.3">
      <c r="A136" s="16" t="s">
        <v>225</v>
      </c>
      <c r="B136" s="17" t="s">
        <v>30</v>
      </c>
      <c r="C136" s="17" t="s">
        <v>10</v>
      </c>
      <c r="D136" s="17" t="s">
        <v>17</v>
      </c>
      <c r="E136" s="18">
        <v>894.55</v>
      </c>
      <c r="F136" s="18">
        <v>19</v>
      </c>
      <c r="G136" s="18">
        <v>0.2</v>
      </c>
      <c r="H136" s="19">
        <v>45625</v>
      </c>
      <c r="I136" s="20">
        <v>178.91</v>
      </c>
      <c r="J136" s="12">
        <f t="shared" si="5"/>
        <v>894.55</v>
      </c>
      <c r="K136" s="11" t="str">
        <f t="shared" si="6"/>
        <v>Nov-2024</v>
      </c>
    </row>
    <row r="137" spans="1:11" ht="19.8" customHeight="1" x14ac:dyDescent="0.3">
      <c r="A137" s="16" t="s">
        <v>226</v>
      </c>
      <c r="B137" s="17" t="s">
        <v>27</v>
      </c>
      <c r="C137" s="17" t="s">
        <v>19</v>
      </c>
      <c r="D137" s="17" t="s">
        <v>28</v>
      </c>
      <c r="E137" s="18">
        <v>833.91</v>
      </c>
      <c r="F137" s="18">
        <v>3</v>
      </c>
      <c r="G137" s="18">
        <v>0.05</v>
      </c>
      <c r="H137" s="19">
        <v>45626</v>
      </c>
      <c r="I137" s="20">
        <v>356.5</v>
      </c>
      <c r="J137" s="12">
        <f t="shared" si="5"/>
        <v>833.91</v>
      </c>
      <c r="K137" s="11" t="str">
        <f t="shared" si="6"/>
        <v>Nov-2024</v>
      </c>
    </row>
    <row r="138" spans="1:11" ht="19.8" customHeight="1" x14ac:dyDescent="0.3">
      <c r="A138" s="16" t="s">
        <v>227</v>
      </c>
      <c r="B138" s="17" t="s">
        <v>45</v>
      </c>
      <c r="C138" s="17" t="s">
        <v>10</v>
      </c>
      <c r="D138" s="17" t="s">
        <v>21</v>
      </c>
      <c r="E138" s="18">
        <v>820.19</v>
      </c>
      <c r="F138" s="18">
        <v>4</v>
      </c>
      <c r="G138" s="18">
        <v>0.2</v>
      </c>
      <c r="H138" s="19">
        <v>45630</v>
      </c>
      <c r="I138" s="20">
        <v>229.65</v>
      </c>
      <c r="J138" s="12">
        <f t="shared" si="5"/>
        <v>820.19</v>
      </c>
      <c r="K138" s="11" t="str">
        <f t="shared" si="6"/>
        <v>Dec-2024</v>
      </c>
    </row>
    <row r="139" spans="1:11" ht="19.8" customHeight="1" x14ac:dyDescent="0.3">
      <c r="A139" s="16" t="s">
        <v>228</v>
      </c>
      <c r="B139" s="17" t="s">
        <v>27</v>
      </c>
      <c r="C139" s="17" t="s">
        <v>25</v>
      </c>
      <c r="D139" s="17" t="s">
        <v>17</v>
      </c>
      <c r="E139" s="18">
        <v>511.74</v>
      </c>
      <c r="F139" s="18">
        <v>8</v>
      </c>
      <c r="G139" s="18">
        <v>0.05</v>
      </c>
      <c r="H139" s="19">
        <v>45631</v>
      </c>
      <c r="I139" s="20">
        <v>121.54</v>
      </c>
      <c r="J139" s="12">
        <f t="shared" si="5"/>
        <v>511.74</v>
      </c>
      <c r="K139" s="11" t="str">
        <f t="shared" si="6"/>
        <v>Dec-2024</v>
      </c>
    </row>
    <row r="140" spans="1:11" ht="19.8" customHeight="1" x14ac:dyDescent="0.3">
      <c r="A140" s="16" t="s">
        <v>229</v>
      </c>
      <c r="B140" s="17" t="s">
        <v>40</v>
      </c>
      <c r="C140" s="17" t="s">
        <v>16</v>
      </c>
      <c r="D140" s="17" t="s">
        <v>21</v>
      </c>
      <c r="E140" s="18">
        <v>806.03</v>
      </c>
      <c r="F140" s="18">
        <v>19</v>
      </c>
      <c r="G140" s="18">
        <v>0.05</v>
      </c>
      <c r="H140" s="19">
        <v>45638</v>
      </c>
      <c r="I140" s="20">
        <v>268</v>
      </c>
      <c r="J140" s="12">
        <f t="shared" si="5"/>
        <v>806.03</v>
      </c>
      <c r="K140" s="11" t="str">
        <f t="shared" si="6"/>
        <v>Dec-2024</v>
      </c>
    </row>
    <row r="141" spans="1:11" ht="19.8" customHeight="1" x14ac:dyDescent="0.3">
      <c r="A141" s="16" t="s">
        <v>230</v>
      </c>
      <c r="B141" s="17" t="s">
        <v>20</v>
      </c>
      <c r="C141" s="17" t="s">
        <v>25</v>
      </c>
      <c r="D141" s="17" t="s">
        <v>21</v>
      </c>
      <c r="E141" s="18">
        <v>1432.47</v>
      </c>
      <c r="F141" s="18">
        <v>16</v>
      </c>
      <c r="G141" s="18">
        <v>0.15</v>
      </c>
      <c r="H141" s="19">
        <v>45640</v>
      </c>
      <c r="I141" s="20">
        <v>426.16</v>
      </c>
      <c r="J141" s="12">
        <f t="shared" si="5"/>
        <v>1432.47</v>
      </c>
      <c r="K141" s="11" t="str">
        <f t="shared" si="6"/>
        <v>Dec-2024</v>
      </c>
    </row>
    <row r="142" spans="1:11" ht="19.8" customHeight="1" x14ac:dyDescent="0.3">
      <c r="A142" s="16" t="s">
        <v>231</v>
      </c>
      <c r="B142" s="17" t="s">
        <v>22</v>
      </c>
      <c r="C142" s="17" t="s">
        <v>25</v>
      </c>
      <c r="D142" s="17" t="s">
        <v>17</v>
      </c>
      <c r="E142" s="18">
        <v>1488.58</v>
      </c>
      <c r="F142" s="18">
        <v>10</v>
      </c>
      <c r="G142" s="18">
        <v>0.15</v>
      </c>
      <c r="H142" s="19">
        <v>45640</v>
      </c>
      <c r="I142" s="20">
        <v>316.32</v>
      </c>
      <c r="J142" s="12">
        <f t="shared" si="5"/>
        <v>1488.58</v>
      </c>
      <c r="K142" s="11" t="str">
        <f t="shared" si="6"/>
        <v>Dec-2024</v>
      </c>
    </row>
    <row r="143" spans="1:11" ht="19.8" customHeight="1" x14ac:dyDescent="0.3">
      <c r="A143" s="16" t="s">
        <v>232</v>
      </c>
      <c r="B143" s="17" t="s">
        <v>43</v>
      </c>
      <c r="C143" s="17" t="s">
        <v>15</v>
      </c>
      <c r="D143" s="17" t="s">
        <v>11</v>
      </c>
      <c r="E143" s="18">
        <v>1231.26</v>
      </c>
      <c r="F143" s="18">
        <v>9</v>
      </c>
      <c r="G143" s="18">
        <v>0</v>
      </c>
      <c r="H143" s="19">
        <v>45646</v>
      </c>
      <c r="I143" s="20">
        <v>492.5</v>
      </c>
      <c r="J143" s="12">
        <f t="shared" si="5"/>
        <v>1231.26</v>
      </c>
      <c r="K143" s="11" t="str">
        <f t="shared" si="6"/>
        <v>Dec-2024</v>
      </c>
    </row>
    <row r="144" spans="1:11" ht="19.8" customHeight="1" x14ac:dyDescent="0.3">
      <c r="A144" s="16" t="s">
        <v>233</v>
      </c>
      <c r="B144" s="17" t="s">
        <v>30</v>
      </c>
      <c r="C144" s="17" t="s">
        <v>10</v>
      </c>
      <c r="D144" s="17" t="s">
        <v>17</v>
      </c>
      <c r="E144" s="18">
        <v>1161.67</v>
      </c>
      <c r="F144" s="18">
        <v>19</v>
      </c>
      <c r="G144" s="18">
        <v>0.2</v>
      </c>
      <c r="H144" s="19">
        <v>45647</v>
      </c>
      <c r="I144" s="20">
        <v>232.33</v>
      </c>
      <c r="J144" s="12">
        <f t="shared" si="5"/>
        <v>1161.67</v>
      </c>
      <c r="K144" s="11" t="str">
        <f t="shared" si="6"/>
        <v>Dec-2024</v>
      </c>
    </row>
    <row r="145" spans="1:11" ht="19.8" customHeight="1" x14ac:dyDescent="0.3">
      <c r="A145" s="16" t="s">
        <v>234</v>
      </c>
      <c r="B145" s="17" t="s">
        <v>31</v>
      </c>
      <c r="C145" s="17" t="s">
        <v>25</v>
      </c>
      <c r="D145" s="17" t="s">
        <v>28</v>
      </c>
      <c r="E145" s="18">
        <v>388.23</v>
      </c>
      <c r="F145" s="18">
        <v>16</v>
      </c>
      <c r="G145" s="18">
        <v>0.05</v>
      </c>
      <c r="H145" s="19">
        <v>45650</v>
      </c>
      <c r="I145" s="20">
        <v>165.97</v>
      </c>
      <c r="J145" s="12">
        <f t="shared" si="5"/>
        <v>388.23</v>
      </c>
      <c r="K145" s="11" t="str">
        <f t="shared" si="6"/>
        <v>Dec-2024</v>
      </c>
    </row>
    <row r="146" spans="1:11" ht="19.8" customHeight="1" x14ac:dyDescent="0.3">
      <c r="A146" s="16" t="s">
        <v>235</v>
      </c>
      <c r="B146" s="17" t="s">
        <v>23</v>
      </c>
      <c r="C146" s="17" t="s">
        <v>19</v>
      </c>
      <c r="D146" s="17" t="s">
        <v>13</v>
      </c>
      <c r="E146" s="18">
        <v>1589.42</v>
      </c>
      <c r="F146" s="18">
        <v>6</v>
      </c>
      <c r="G146" s="18">
        <v>0.15</v>
      </c>
      <c r="H146" s="19">
        <v>45651</v>
      </c>
      <c r="I146" s="20">
        <v>675.5</v>
      </c>
      <c r="J146" s="12">
        <f t="shared" si="5"/>
        <v>1589.42</v>
      </c>
      <c r="K146" s="11" t="str">
        <f t="shared" si="6"/>
        <v>Dec-2024</v>
      </c>
    </row>
    <row r="147" spans="1:11" ht="19.8" customHeight="1" x14ac:dyDescent="0.3">
      <c r="A147" s="16" t="s">
        <v>236</v>
      </c>
      <c r="B147" s="17" t="s">
        <v>45</v>
      </c>
      <c r="C147" s="17" t="s">
        <v>19</v>
      </c>
      <c r="D147" s="17" t="s">
        <v>13</v>
      </c>
      <c r="E147" s="18">
        <v>336.66</v>
      </c>
      <c r="F147" s="18">
        <v>13</v>
      </c>
      <c r="G147" s="18">
        <v>0.2</v>
      </c>
      <c r="H147" s="19">
        <v>45651</v>
      </c>
      <c r="I147" s="20">
        <v>134.66</v>
      </c>
      <c r="J147" s="12">
        <f t="shared" si="5"/>
        <v>336.66</v>
      </c>
      <c r="K147" s="11" t="str">
        <f t="shared" si="6"/>
        <v>Dec-2024</v>
      </c>
    </row>
    <row r="148" spans="1:11" ht="19.8" customHeight="1" x14ac:dyDescent="0.3">
      <c r="A148" s="16" t="s">
        <v>237</v>
      </c>
      <c r="B148" s="17" t="s">
        <v>18</v>
      </c>
      <c r="C148" s="17" t="s">
        <v>10</v>
      </c>
      <c r="D148" s="17" t="s">
        <v>11</v>
      </c>
      <c r="E148" s="18">
        <v>1353.79</v>
      </c>
      <c r="F148" s="18">
        <v>14</v>
      </c>
      <c r="G148" s="18">
        <v>0.1</v>
      </c>
      <c r="H148" s="19">
        <v>45656</v>
      </c>
      <c r="I148" s="20">
        <v>487.36</v>
      </c>
      <c r="J148" s="12">
        <f t="shared" si="5"/>
        <v>1353.79</v>
      </c>
      <c r="K148" s="11" t="str">
        <f t="shared" si="6"/>
        <v>Dec-2024</v>
      </c>
    </row>
    <row r="149" spans="1:11" ht="19.8" customHeight="1" x14ac:dyDescent="0.3">
      <c r="A149" s="16" t="s">
        <v>238</v>
      </c>
      <c r="B149" s="17" t="s">
        <v>44</v>
      </c>
      <c r="C149" s="17" t="s">
        <v>25</v>
      </c>
      <c r="D149" s="17" t="s">
        <v>13</v>
      </c>
      <c r="E149" s="18">
        <v>662.61</v>
      </c>
      <c r="F149" s="18">
        <v>11</v>
      </c>
      <c r="G149" s="18">
        <v>0.05</v>
      </c>
      <c r="H149" s="19">
        <v>45658</v>
      </c>
      <c r="I149" s="20">
        <v>314.74</v>
      </c>
      <c r="J149" s="12">
        <f t="shared" si="5"/>
        <v>662.61</v>
      </c>
      <c r="K149" s="11" t="str">
        <f t="shared" si="6"/>
        <v>Jan-2025</v>
      </c>
    </row>
    <row r="150" spans="1:11" ht="19.8" customHeight="1" x14ac:dyDescent="0.3">
      <c r="A150" s="16" t="s">
        <v>239</v>
      </c>
      <c r="B150" s="17" t="s">
        <v>33</v>
      </c>
      <c r="C150" s="17" t="s">
        <v>19</v>
      </c>
      <c r="D150" s="17" t="s">
        <v>28</v>
      </c>
      <c r="E150" s="18">
        <v>309.42</v>
      </c>
      <c r="F150" s="18">
        <v>1</v>
      </c>
      <c r="G150" s="18">
        <v>0.2</v>
      </c>
      <c r="H150" s="19">
        <v>45658</v>
      </c>
      <c r="I150" s="20">
        <v>111.39</v>
      </c>
      <c r="J150" s="12">
        <f t="shared" si="5"/>
        <v>309.42</v>
      </c>
      <c r="K150" s="11" t="str">
        <f t="shared" si="6"/>
        <v>Jan-2025</v>
      </c>
    </row>
    <row r="151" spans="1:11" ht="19.8" customHeight="1" x14ac:dyDescent="0.3">
      <c r="A151" s="16" t="s">
        <v>240</v>
      </c>
      <c r="B151" s="17" t="s">
        <v>22</v>
      </c>
      <c r="C151" s="17" t="s">
        <v>19</v>
      </c>
      <c r="D151" s="17" t="s">
        <v>11</v>
      </c>
      <c r="E151" s="18">
        <v>884.63</v>
      </c>
      <c r="F151" s="18">
        <v>18</v>
      </c>
      <c r="G151" s="18">
        <v>0.1</v>
      </c>
      <c r="H151" s="19">
        <v>45659</v>
      </c>
      <c r="I151" s="20">
        <v>318.47000000000003</v>
      </c>
      <c r="J151" s="12">
        <f t="shared" si="5"/>
        <v>884.63</v>
      </c>
      <c r="K151" s="11" t="str">
        <f t="shared" si="6"/>
        <v>Jan-2025</v>
      </c>
    </row>
    <row r="152" spans="1:11" ht="19.8" customHeight="1" x14ac:dyDescent="0.3">
      <c r="A152" s="16" t="s">
        <v>241</v>
      </c>
      <c r="B152" s="17" t="s">
        <v>18</v>
      </c>
      <c r="C152" s="17" t="s">
        <v>25</v>
      </c>
      <c r="D152" s="17" t="s">
        <v>28</v>
      </c>
      <c r="E152" s="18">
        <v>745.05</v>
      </c>
      <c r="F152" s="18">
        <v>10</v>
      </c>
      <c r="G152" s="18">
        <v>0.1</v>
      </c>
      <c r="H152" s="19">
        <v>45660</v>
      </c>
      <c r="I152" s="20">
        <v>301.75</v>
      </c>
      <c r="J152" s="12">
        <f t="shared" si="5"/>
        <v>745.05</v>
      </c>
      <c r="K152" s="11" t="str">
        <f t="shared" si="6"/>
        <v>Jan-2025</v>
      </c>
    </row>
    <row r="153" spans="1:11" ht="19.8" customHeight="1" x14ac:dyDescent="0.3">
      <c r="A153" s="16" t="s">
        <v>242</v>
      </c>
      <c r="B153" s="17" t="s">
        <v>14</v>
      </c>
      <c r="C153" s="17" t="s">
        <v>16</v>
      </c>
      <c r="D153" s="17" t="s">
        <v>13</v>
      </c>
      <c r="E153" s="18">
        <v>870.23</v>
      </c>
      <c r="F153" s="18">
        <v>5</v>
      </c>
      <c r="G153" s="18">
        <v>0.05</v>
      </c>
      <c r="H153" s="19">
        <v>45660</v>
      </c>
      <c r="I153" s="20">
        <v>413.36</v>
      </c>
      <c r="J153" s="12">
        <f t="shared" si="5"/>
        <v>870.23</v>
      </c>
      <c r="K153" s="11" t="str">
        <f t="shared" si="6"/>
        <v>Jan-2025</v>
      </c>
    </row>
    <row r="154" spans="1:11" ht="19.8" customHeight="1" x14ac:dyDescent="0.3">
      <c r="A154" s="16" t="s">
        <v>243</v>
      </c>
      <c r="B154" s="17" t="s">
        <v>22</v>
      </c>
      <c r="C154" s="17" t="s">
        <v>10</v>
      </c>
      <c r="D154" s="17" t="s">
        <v>21</v>
      </c>
      <c r="E154" s="18">
        <v>862.19</v>
      </c>
      <c r="F154" s="18">
        <v>18</v>
      </c>
      <c r="G154" s="18">
        <v>0.05</v>
      </c>
      <c r="H154" s="19">
        <v>45663</v>
      </c>
      <c r="I154" s="20">
        <v>286.68</v>
      </c>
      <c r="J154" s="12">
        <f t="shared" si="5"/>
        <v>862.19</v>
      </c>
      <c r="K154" s="11" t="str">
        <f t="shared" si="6"/>
        <v>Jan-2025</v>
      </c>
    </row>
    <row r="155" spans="1:11" ht="19.8" customHeight="1" x14ac:dyDescent="0.3">
      <c r="A155" s="16" t="s">
        <v>244</v>
      </c>
      <c r="B155" s="17" t="s">
        <v>39</v>
      </c>
      <c r="C155" s="17" t="s">
        <v>19</v>
      </c>
      <c r="D155" s="17" t="s">
        <v>13</v>
      </c>
      <c r="E155" s="18">
        <v>1171.18</v>
      </c>
      <c r="F155" s="18">
        <v>19</v>
      </c>
      <c r="G155" s="18">
        <v>0.05</v>
      </c>
      <c r="H155" s="19">
        <v>45667</v>
      </c>
      <c r="I155" s="20">
        <v>556.30999999999995</v>
      </c>
      <c r="J155" s="12">
        <f t="shared" si="5"/>
        <v>1171.18</v>
      </c>
      <c r="K155" s="11" t="str">
        <f t="shared" si="6"/>
        <v>Jan-2025</v>
      </c>
    </row>
    <row r="156" spans="1:11" ht="19.8" customHeight="1" x14ac:dyDescent="0.3">
      <c r="A156" s="16" t="s">
        <v>245</v>
      </c>
      <c r="B156" s="17" t="s">
        <v>12</v>
      </c>
      <c r="C156" s="17" t="s">
        <v>16</v>
      </c>
      <c r="D156" s="17" t="s">
        <v>21</v>
      </c>
      <c r="E156" s="18">
        <v>1054.56</v>
      </c>
      <c r="F156" s="18">
        <v>11</v>
      </c>
      <c r="G156" s="18">
        <v>0.1</v>
      </c>
      <c r="H156" s="19">
        <v>45669</v>
      </c>
      <c r="I156" s="20">
        <v>332.19</v>
      </c>
      <c r="J156" s="12">
        <f t="shared" si="5"/>
        <v>1054.56</v>
      </c>
      <c r="K156" s="11" t="str">
        <f t="shared" si="6"/>
        <v>Jan-2025</v>
      </c>
    </row>
    <row r="157" spans="1:11" ht="19.8" customHeight="1" x14ac:dyDescent="0.3">
      <c r="A157" s="16" t="s">
        <v>246</v>
      </c>
      <c r="B157" s="17" t="s">
        <v>18</v>
      </c>
      <c r="C157" s="17" t="s">
        <v>19</v>
      </c>
      <c r="D157" s="17" t="s">
        <v>17</v>
      </c>
      <c r="E157" s="18">
        <v>1681.21</v>
      </c>
      <c r="F157" s="18">
        <v>5</v>
      </c>
      <c r="G157" s="18">
        <v>0.2</v>
      </c>
      <c r="H157" s="19">
        <v>45670</v>
      </c>
      <c r="I157" s="20">
        <v>336.24</v>
      </c>
      <c r="J157" s="12">
        <f t="shared" si="5"/>
        <v>1681.21</v>
      </c>
      <c r="K157" s="11" t="str">
        <f t="shared" si="6"/>
        <v>Jan-2025</v>
      </c>
    </row>
    <row r="158" spans="1:11" ht="19.8" customHeight="1" x14ac:dyDescent="0.3">
      <c r="A158" s="16" t="s">
        <v>247</v>
      </c>
      <c r="B158" s="17" t="s">
        <v>26</v>
      </c>
      <c r="C158" s="17" t="s">
        <v>10</v>
      </c>
      <c r="D158" s="17" t="s">
        <v>13</v>
      </c>
      <c r="E158" s="18">
        <v>379.77</v>
      </c>
      <c r="F158" s="18">
        <v>9</v>
      </c>
      <c r="G158" s="18">
        <v>0.05</v>
      </c>
      <c r="H158" s="19">
        <v>45673</v>
      </c>
      <c r="I158" s="20">
        <v>180.39</v>
      </c>
      <c r="J158" s="12">
        <f t="shared" si="5"/>
        <v>379.77</v>
      </c>
      <c r="K158" s="11" t="str">
        <f t="shared" si="6"/>
        <v>Jan-2025</v>
      </c>
    </row>
    <row r="159" spans="1:11" ht="19.8" customHeight="1" x14ac:dyDescent="0.3">
      <c r="A159" s="16" t="s">
        <v>248</v>
      </c>
      <c r="B159" s="17" t="s">
        <v>31</v>
      </c>
      <c r="C159" s="17" t="s">
        <v>25</v>
      </c>
      <c r="D159" s="17" t="s">
        <v>13</v>
      </c>
      <c r="E159" s="18">
        <v>1076.33</v>
      </c>
      <c r="F159" s="18">
        <v>2</v>
      </c>
      <c r="G159" s="18">
        <v>0.1</v>
      </c>
      <c r="H159" s="19">
        <v>45674</v>
      </c>
      <c r="I159" s="20">
        <v>484.35</v>
      </c>
      <c r="J159" s="12">
        <f t="shared" si="5"/>
        <v>1076.33</v>
      </c>
      <c r="K159" s="11" t="str">
        <f t="shared" si="6"/>
        <v>Jan-2025</v>
      </c>
    </row>
    <row r="160" spans="1:11" ht="19.8" customHeight="1" x14ac:dyDescent="0.3">
      <c r="A160" s="16" t="s">
        <v>249</v>
      </c>
      <c r="B160" s="17" t="s">
        <v>23</v>
      </c>
      <c r="C160" s="17" t="s">
        <v>25</v>
      </c>
      <c r="D160" s="17" t="s">
        <v>28</v>
      </c>
      <c r="E160" s="18">
        <v>1250.71</v>
      </c>
      <c r="F160" s="18">
        <v>7</v>
      </c>
      <c r="G160" s="18">
        <v>0</v>
      </c>
      <c r="H160" s="19">
        <v>45674</v>
      </c>
      <c r="I160" s="20">
        <v>562.82000000000005</v>
      </c>
      <c r="J160" s="12">
        <f t="shared" si="5"/>
        <v>1250.71</v>
      </c>
      <c r="K160" s="11" t="str">
        <f t="shared" si="6"/>
        <v>Jan-2025</v>
      </c>
    </row>
    <row r="161" spans="1:11" ht="19.8" customHeight="1" x14ac:dyDescent="0.3">
      <c r="A161" s="16" t="s">
        <v>250</v>
      </c>
      <c r="B161" s="17" t="s">
        <v>14</v>
      </c>
      <c r="C161" s="17" t="s">
        <v>16</v>
      </c>
      <c r="D161" s="17" t="s">
        <v>13</v>
      </c>
      <c r="E161" s="18">
        <v>1118.3399999999999</v>
      </c>
      <c r="F161" s="18">
        <v>6</v>
      </c>
      <c r="G161" s="18">
        <v>0.2</v>
      </c>
      <c r="H161" s="19">
        <v>45674</v>
      </c>
      <c r="I161" s="20">
        <v>447.34</v>
      </c>
      <c r="J161" s="12">
        <f t="shared" si="5"/>
        <v>1118.3399999999999</v>
      </c>
      <c r="K161" s="11" t="str">
        <f t="shared" si="6"/>
        <v>Jan-2025</v>
      </c>
    </row>
    <row r="162" spans="1:11" ht="19.8" customHeight="1" x14ac:dyDescent="0.3">
      <c r="A162" s="16" t="s">
        <v>251</v>
      </c>
      <c r="B162" s="17" t="s">
        <v>36</v>
      </c>
      <c r="C162" s="17" t="s">
        <v>19</v>
      </c>
      <c r="D162" s="17" t="s">
        <v>13</v>
      </c>
      <c r="E162" s="18">
        <v>1622.62</v>
      </c>
      <c r="F162" s="18">
        <v>12</v>
      </c>
      <c r="G162" s="18">
        <v>0.2</v>
      </c>
      <c r="H162" s="19">
        <v>45677</v>
      </c>
      <c r="I162" s="20">
        <v>649.04999999999995</v>
      </c>
      <c r="J162" s="12">
        <f t="shared" si="5"/>
        <v>1622.62</v>
      </c>
      <c r="K162" s="11" t="str">
        <f t="shared" si="6"/>
        <v>Jan-2025</v>
      </c>
    </row>
    <row r="163" spans="1:11" ht="19.8" customHeight="1" x14ac:dyDescent="0.3">
      <c r="A163" s="16" t="s">
        <v>252</v>
      </c>
      <c r="B163" s="17" t="s">
        <v>33</v>
      </c>
      <c r="C163" s="17" t="s">
        <v>19</v>
      </c>
      <c r="D163" s="17" t="s">
        <v>11</v>
      </c>
      <c r="E163" s="18">
        <v>640.64</v>
      </c>
      <c r="F163" s="18">
        <v>11</v>
      </c>
      <c r="G163" s="18">
        <v>0.2</v>
      </c>
      <c r="H163" s="19">
        <v>45678</v>
      </c>
      <c r="I163" s="20">
        <v>205</v>
      </c>
      <c r="J163" s="12">
        <f t="shared" si="5"/>
        <v>640.64</v>
      </c>
      <c r="K163" s="11" t="str">
        <f t="shared" si="6"/>
        <v>Jan-2025</v>
      </c>
    </row>
    <row r="164" spans="1:11" ht="19.8" customHeight="1" x14ac:dyDescent="0.3">
      <c r="A164" s="16" t="s">
        <v>253</v>
      </c>
      <c r="B164" s="17" t="s">
        <v>30</v>
      </c>
      <c r="C164" s="17" t="s">
        <v>10</v>
      </c>
      <c r="D164" s="17" t="s">
        <v>13</v>
      </c>
      <c r="E164" s="18">
        <v>585.16</v>
      </c>
      <c r="F164" s="18">
        <v>17</v>
      </c>
      <c r="G164" s="18">
        <v>0.1</v>
      </c>
      <c r="H164" s="19">
        <v>45684</v>
      </c>
      <c r="I164" s="20">
        <v>263.32</v>
      </c>
      <c r="J164" s="12">
        <f t="shared" si="5"/>
        <v>585.16</v>
      </c>
      <c r="K164" s="11" t="str">
        <f t="shared" si="6"/>
        <v>Jan-2025</v>
      </c>
    </row>
    <row r="165" spans="1:11" ht="19.8" customHeight="1" x14ac:dyDescent="0.3">
      <c r="A165" s="16" t="s">
        <v>254</v>
      </c>
      <c r="B165" s="17" t="s">
        <v>23</v>
      </c>
      <c r="C165" s="17" t="s">
        <v>15</v>
      </c>
      <c r="D165" s="17" t="s">
        <v>13</v>
      </c>
      <c r="E165" s="18">
        <v>1109.98</v>
      </c>
      <c r="F165" s="18">
        <v>5</v>
      </c>
      <c r="G165" s="18">
        <v>0.2</v>
      </c>
      <c r="H165" s="19">
        <v>45690</v>
      </c>
      <c r="I165" s="20">
        <v>443.99</v>
      </c>
      <c r="J165" s="12">
        <f t="shared" si="5"/>
        <v>1109.98</v>
      </c>
      <c r="K165" s="11" t="str">
        <f t="shared" si="6"/>
        <v>Feb-2025</v>
      </c>
    </row>
    <row r="166" spans="1:11" ht="19.8" customHeight="1" x14ac:dyDescent="0.3">
      <c r="A166" s="16" t="s">
        <v>255</v>
      </c>
      <c r="B166" s="17" t="s">
        <v>31</v>
      </c>
      <c r="C166" s="17" t="s">
        <v>15</v>
      </c>
      <c r="D166" s="17" t="s">
        <v>11</v>
      </c>
      <c r="E166" s="18">
        <v>1098.08</v>
      </c>
      <c r="F166" s="18">
        <v>9</v>
      </c>
      <c r="G166" s="18">
        <v>0.1</v>
      </c>
      <c r="H166" s="19">
        <v>45692</v>
      </c>
      <c r="I166" s="20">
        <v>395.31</v>
      </c>
      <c r="J166" s="12">
        <f t="shared" si="5"/>
        <v>1098.08</v>
      </c>
      <c r="K166" s="11" t="str">
        <f t="shared" si="6"/>
        <v>Feb-2025</v>
      </c>
    </row>
    <row r="167" spans="1:11" ht="19.8" customHeight="1" x14ac:dyDescent="0.3">
      <c r="A167" s="16" t="s">
        <v>256</v>
      </c>
      <c r="B167" s="17" t="s">
        <v>33</v>
      </c>
      <c r="C167" s="17" t="s">
        <v>10</v>
      </c>
      <c r="D167" s="17" t="s">
        <v>28</v>
      </c>
      <c r="E167" s="18">
        <v>827.25</v>
      </c>
      <c r="F167" s="18">
        <v>7</v>
      </c>
      <c r="G167" s="18">
        <v>0.1</v>
      </c>
      <c r="H167" s="19">
        <v>45693</v>
      </c>
      <c r="I167" s="20">
        <v>335.04</v>
      </c>
      <c r="J167" s="12">
        <f t="shared" si="5"/>
        <v>827.25</v>
      </c>
      <c r="K167" s="11" t="str">
        <f t="shared" si="6"/>
        <v>Feb-2025</v>
      </c>
    </row>
    <row r="168" spans="1:11" ht="19.8" customHeight="1" x14ac:dyDescent="0.3">
      <c r="A168" s="16" t="s">
        <v>257</v>
      </c>
      <c r="B168" s="17" t="s">
        <v>22</v>
      </c>
      <c r="C168" s="17" t="s">
        <v>25</v>
      </c>
      <c r="D168" s="17" t="s">
        <v>13</v>
      </c>
      <c r="E168" s="18">
        <v>741.88</v>
      </c>
      <c r="F168" s="18">
        <v>16</v>
      </c>
      <c r="G168" s="18">
        <v>0.1</v>
      </c>
      <c r="H168" s="19">
        <v>45695</v>
      </c>
      <c r="I168" s="20">
        <v>333.85</v>
      </c>
      <c r="J168" s="12">
        <f t="shared" si="5"/>
        <v>741.88</v>
      </c>
      <c r="K168" s="11" t="str">
        <f t="shared" si="6"/>
        <v>Feb-2025</v>
      </c>
    </row>
    <row r="169" spans="1:11" ht="19.8" customHeight="1" x14ac:dyDescent="0.3">
      <c r="A169" s="16" t="s">
        <v>258</v>
      </c>
      <c r="B169" s="17" t="s">
        <v>9</v>
      </c>
      <c r="C169" s="17" t="s">
        <v>15</v>
      </c>
      <c r="D169" s="17" t="s">
        <v>28</v>
      </c>
      <c r="E169" s="18">
        <v>1311.26</v>
      </c>
      <c r="F169" s="18">
        <v>6</v>
      </c>
      <c r="G169" s="18">
        <v>0.1</v>
      </c>
      <c r="H169" s="19">
        <v>45698</v>
      </c>
      <c r="I169" s="20">
        <v>531.05999999999995</v>
      </c>
      <c r="J169" s="12">
        <f t="shared" si="5"/>
        <v>1311.26</v>
      </c>
      <c r="K169" s="11" t="str">
        <f t="shared" si="6"/>
        <v>Feb-2025</v>
      </c>
    </row>
    <row r="170" spans="1:11" ht="19.8" customHeight="1" x14ac:dyDescent="0.3">
      <c r="A170" s="16" t="s">
        <v>259</v>
      </c>
      <c r="B170" s="17" t="s">
        <v>23</v>
      </c>
      <c r="C170" s="17" t="s">
        <v>16</v>
      </c>
      <c r="D170" s="17" t="s">
        <v>28</v>
      </c>
      <c r="E170" s="18">
        <v>573.32000000000005</v>
      </c>
      <c r="F170" s="18">
        <v>19</v>
      </c>
      <c r="G170" s="18">
        <v>0.1</v>
      </c>
      <c r="H170" s="19">
        <v>45703</v>
      </c>
      <c r="I170" s="20">
        <v>232.19</v>
      </c>
      <c r="J170" s="12">
        <f t="shared" si="5"/>
        <v>573.32000000000005</v>
      </c>
      <c r="K170" s="11" t="str">
        <f t="shared" si="6"/>
        <v>Feb-2025</v>
      </c>
    </row>
    <row r="171" spans="1:11" ht="19.8" customHeight="1" x14ac:dyDescent="0.3">
      <c r="A171" s="16" t="s">
        <v>260</v>
      </c>
      <c r="B171" s="17" t="s">
        <v>18</v>
      </c>
      <c r="C171" s="17" t="s">
        <v>10</v>
      </c>
      <c r="D171" s="17" t="s">
        <v>17</v>
      </c>
      <c r="E171" s="18">
        <v>1115.22</v>
      </c>
      <c r="F171" s="18">
        <v>14</v>
      </c>
      <c r="G171" s="18">
        <v>0.2</v>
      </c>
      <c r="H171" s="19">
        <v>45705</v>
      </c>
      <c r="I171" s="20">
        <v>223.04</v>
      </c>
      <c r="J171" s="12">
        <f t="shared" si="5"/>
        <v>1115.22</v>
      </c>
      <c r="K171" s="11" t="str">
        <f t="shared" si="6"/>
        <v>Feb-2025</v>
      </c>
    </row>
    <row r="172" spans="1:11" ht="19.8" customHeight="1" x14ac:dyDescent="0.3">
      <c r="A172" s="16" t="s">
        <v>261</v>
      </c>
      <c r="B172" s="17" t="s">
        <v>31</v>
      </c>
      <c r="C172" s="17" t="s">
        <v>19</v>
      </c>
      <c r="D172" s="17" t="s">
        <v>13</v>
      </c>
      <c r="E172" s="18">
        <v>845.84</v>
      </c>
      <c r="F172" s="18">
        <v>4</v>
      </c>
      <c r="G172" s="18">
        <v>0</v>
      </c>
      <c r="H172" s="19">
        <v>45707</v>
      </c>
      <c r="I172" s="20">
        <v>422.92</v>
      </c>
      <c r="J172" s="12">
        <f t="shared" si="5"/>
        <v>845.84</v>
      </c>
      <c r="K172" s="11" t="str">
        <f t="shared" si="6"/>
        <v>Feb-2025</v>
      </c>
    </row>
    <row r="173" spans="1:11" ht="19.8" customHeight="1" x14ac:dyDescent="0.3">
      <c r="A173" s="16" t="s">
        <v>262</v>
      </c>
      <c r="B173" s="17" t="s">
        <v>37</v>
      </c>
      <c r="C173" s="17" t="s">
        <v>10</v>
      </c>
      <c r="D173" s="17" t="s">
        <v>17</v>
      </c>
      <c r="E173" s="18">
        <v>1029.8</v>
      </c>
      <c r="F173" s="18">
        <v>3</v>
      </c>
      <c r="G173" s="18">
        <v>0</v>
      </c>
      <c r="H173" s="19">
        <v>45708</v>
      </c>
      <c r="I173" s="20">
        <v>257.45</v>
      </c>
      <c r="J173" s="12">
        <f t="shared" si="5"/>
        <v>1029.8</v>
      </c>
      <c r="K173" s="11" t="str">
        <f t="shared" si="6"/>
        <v>Feb-2025</v>
      </c>
    </row>
    <row r="174" spans="1:11" ht="19.8" customHeight="1" x14ac:dyDescent="0.3">
      <c r="A174" s="16" t="s">
        <v>263</v>
      </c>
      <c r="B174" s="17" t="s">
        <v>23</v>
      </c>
      <c r="C174" s="17" t="s">
        <v>19</v>
      </c>
      <c r="D174" s="17" t="s">
        <v>11</v>
      </c>
      <c r="E174" s="18">
        <v>1189.83</v>
      </c>
      <c r="F174" s="18">
        <v>2</v>
      </c>
      <c r="G174" s="18">
        <v>0.2</v>
      </c>
      <c r="H174" s="19">
        <v>45709</v>
      </c>
      <c r="I174" s="20">
        <v>380.75</v>
      </c>
      <c r="J174" s="12">
        <f t="shared" si="5"/>
        <v>1189.83</v>
      </c>
      <c r="K174" s="11" t="str">
        <f t="shared" si="6"/>
        <v>Feb-2025</v>
      </c>
    </row>
    <row r="175" spans="1:11" ht="19.8" customHeight="1" x14ac:dyDescent="0.3">
      <c r="A175" s="16" t="s">
        <v>264</v>
      </c>
      <c r="B175" s="17" t="s">
        <v>30</v>
      </c>
      <c r="C175" s="17" t="s">
        <v>16</v>
      </c>
      <c r="D175" s="17" t="s">
        <v>11</v>
      </c>
      <c r="E175" s="18">
        <v>704.28</v>
      </c>
      <c r="F175" s="18">
        <v>15</v>
      </c>
      <c r="G175" s="18">
        <v>0.2</v>
      </c>
      <c r="H175" s="19">
        <v>45712</v>
      </c>
      <c r="I175" s="20">
        <v>225.37</v>
      </c>
      <c r="J175" s="12">
        <f t="shared" si="5"/>
        <v>704.28</v>
      </c>
      <c r="K175" s="11" t="str">
        <f t="shared" si="6"/>
        <v>Feb-2025</v>
      </c>
    </row>
    <row r="176" spans="1:11" ht="19.8" customHeight="1" x14ac:dyDescent="0.3">
      <c r="A176" s="16" t="s">
        <v>265</v>
      </c>
      <c r="B176" s="17" t="s">
        <v>32</v>
      </c>
      <c r="C176" s="17" t="s">
        <v>25</v>
      </c>
      <c r="D176" s="17" t="s">
        <v>28</v>
      </c>
      <c r="E176" s="18">
        <v>1618.22</v>
      </c>
      <c r="F176" s="18">
        <v>12</v>
      </c>
      <c r="G176" s="18">
        <v>0.2</v>
      </c>
      <c r="H176" s="19">
        <v>45712</v>
      </c>
      <c r="I176" s="20">
        <v>582.55999999999995</v>
      </c>
      <c r="J176" s="12">
        <f t="shared" si="5"/>
        <v>1618.22</v>
      </c>
      <c r="K176" s="11" t="str">
        <f t="shared" si="6"/>
        <v>Feb-2025</v>
      </c>
    </row>
    <row r="177" spans="1:11" ht="19.8" customHeight="1" x14ac:dyDescent="0.3">
      <c r="A177" s="16" t="s">
        <v>266</v>
      </c>
      <c r="B177" s="17" t="s">
        <v>36</v>
      </c>
      <c r="C177" s="17" t="s">
        <v>25</v>
      </c>
      <c r="D177" s="17" t="s">
        <v>11</v>
      </c>
      <c r="E177" s="18">
        <v>1014.43</v>
      </c>
      <c r="F177" s="18">
        <v>2</v>
      </c>
      <c r="G177" s="18">
        <v>0.15</v>
      </c>
      <c r="H177" s="19">
        <v>45713</v>
      </c>
      <c r="I177" s="20">
        <v>344.91</v>
      </c>
      <c r="J177" s="12">
        <f t="shared" si="5"/>
        <v>1014.43</v>
      </c>
      <c r="K177" s="11" t="str">
        <f t="shared" si="6"/>
        <v>Feb-2025</v>
      </c>
    </row>
    <row r="178" spans="1:11" ht="19.8" customHeight="1" x14ac:dyDescent="0.3">
      <c r="A178" s="16" t="s">
        <v>267</v>
      </c>
      <c r="B178" s="17" t="s">
        <v>23</v>
      </c>
      <c r="C178" s="17" t="s">
        <v>25</v>
      </c>
      <c r="D178" s="17" t="s">
        <v>13</v>
      </c>
      <c r="E178" s="18">
        <v>826.97</v>
      </c>
      <c r="F178" s="18">
        <v>18</v>
      </c>
      <c r="G178" s="18">
        <v>0.2</v>
      </c>
      <c r="H178" s="19">
        <v>45715</v>
      </c>
      <c r="I178" s="20">
        <v>330.79</v>
      </c>
      <c r="J178" s="12">
        <f t="shared" si="5"/>
        <v>826.97</v>
      </c>
      <c r="K178" s="11" t="str">
        <f t="shared" si="6"/>
        <v>Feb-2025</v>
      </c>
    </row>
    <row r="179" spans="1:11" ht="19.8" customHeight="1" x14ac:dyDescent="0.3">
      <c r="A179" s="16" t="s">
        <v>268</v>
      </c>
      <c r="B179" s="17" t="s">
        <v>23</v>
      </c>
      <c r="C179" s="17" t="s">
        <v>25</v>
      </c>
      <c r="D179" s="17" t="s">
        <v>13</v>
      </c>
      <c r="E179" s="18">
        <v>1022.23</v>
      </c>
      <c r="F179" s="18">
        <v>8</v>
      </c>
      <c r="G179" s="18">
        <v>0.1</v>
      </c>
      <c r="H179" s="19">
        <v>45717</v>
      </c>
      <c r="I179" s="20">
        <v>460</v>
      </c>
      <c r="J179" s="12">
        <f t="shared" si="5"/>
        <v>1022.23</v>
      </c>
      <c r="K179" s="11" t="str">
        <f t="shared" si="6"/>
        <v>Mar-2025</v>
      </c>
    </row>
    <row r="180" spans="1:11" ht="19.8" customHeight="1" x14ac:dyDescent="0.3">
      <c r="A180" s="16" t="s">
        <v>269</v>
      </c>
      <c r="B180" s="17" t="s">
        <v>22</v>
      </c>
      <c r="C180" s="17" t="s">
        <v>15</v>
      </c>
      <c r="D180" s="17" t="s">
        <v>11</v>
      </c>
      <c r="E180" s="18">
        <v>1099.69</v>
      </c>
      <c r="F180" s="18">
        <v>6</v>
      </c>
      <c r="G180" s="18">
        <v>0</v>
      </c>
      <c r="H180" s="19">
        <v>45718</v>
      </c>
      <c r="I180" s="20">
        <v>439.88</v>
      </c>
      <c r="J180" s="12">
        <f t="shared" si="5"/>
        <v>1099.69</v>
      </c>
      <c r="K180" s="11" t="str">
        <f t="shared" si="6"/>
        <v>Mar-2025</v>
      </c>
    </row>
    <row r="181" spans="1:11" ht="19.8" customHeight="1" x14ac:dyDescent="0.3">
      <c r="A181" s="16" t="s">
        <v>270</v>
      </c>
      <c r="B181" s="17" t="s">
        <v>42</v>
      </c>
      <c r="C181" s="17" t="s">
        <v>19</v>
      </c>
      <c r="D181" s="17" t="s">
        <v>11</v>
      </c>
      <c r="E181" s="18">
        <v>710.52</v>
      </c>
      <c r="F181" s="18">
        <v>8</v>
      </c>
      <c r="G181" s="18">
        <v>0.1</v>
      </c>
      <c r="H181" s="19">
        <v>45721</v>
      </c>
      <c r="I181" s="20">
        <v>255.79</v>
      </c>
      <c r="J181" s="12">
        <f t="shared" si="5"/>
        <v>710.52</v>
      </c>
      <c r="K181" s="11" t="str">
        <f t="shared" si="6"/>
        <v>Mar-2025</v>
      </c>
    </row>
    <row r="182" spans="1:11" ht="19.8" customHeight="1" x14ac:dyDescent="0.3">
      <c r="A182" s="16" t="s">
        <v>271</v>
      </c>
      <c r="B182" s="17" t="s">
        <v>39</v>
      </c>
      <c r="C182" s="17" t="s">
        <v>19</v>
      </c>
      <c r="D182" s="17" t="s">
        <v>11</v>
      </c>
      <c r="E182" s="18">
        <v>499.18</v>
      </c>
      <c r="F182" s="18">
        <v>15</v>
      </c>
      <c r="G182" s="18">
        <v>0.2</v>
      </c>
      <c r="H182" s="19">
        <v>45724</v>
      </c>
      <c r="I182" s="20">
        <v>159.74</v>
      </c>
      <c r="J182" s="12">
        <f t="shared" si="5"/>
        <v>499.18</v>
      </c>
      <c r="K182" s="11" t="str">
        <f t="shared" si="6"/>
        <v>Mar-2025</v>
      </c>
    </row>
    <row r="183" spans="1:11" ht="19.8" customHeight="1" x14ac:dyDescent="0.3">
      <c r="A183" s="16" t="s">
        <v>272</v>
      </c>
      <c r="B183" s="17" t="s">
        <v>27</v>
      </c>
      <c r="C183" s="17" t="s">
        <v>16</v>
      </c>
      <c r="D183" s="17" t="s">
        <v>11</v>
      </c>
      <c r="E183" s="18">
        <v>1064.19</v>
      </c>
      <c r="F183" s="18">
        <v>18</v>
      </c>
      <c r="G183" s="18">
        <v>0.05</v>
      </c>
      <c r="H183" s="19">
        <v>45725</v>
      </c>
      <c r="I183" s="20">
        <v>404.39</v>
      </c>
      <c r="J183" s="12">
        <f t="shared" si="5"/>
        <v>1064.19</v>
      </c>
      <c r="K183" s="11" t="str">
        <f t="shared" si="6"/>
        <v>Mar-2025</v>
      </c>
    </row>
    <row r="184" spans="1:11" ht="19.8" customHeight="1" x14ac:dyDescent="0.3">
      <c r="A184" s="16" t="s">
        <v>273</v>
      </c>
      <c r="B184" s="17" t="s">
        <v>27</v>
      </c>
      <c r="C184" s="17" t="s">
        <v>15</v>
      </c>
      <c r="D184" s="17" t="s">
        <v>28</v>
      </c>
      <c r="E184" s="18">
        <v>438.76</v>
      </c>
      <c r="F184" s="18">
        <v>18</v>
      </c>
      <c r="G184" s="18">
        <v>0.05</v>
      </c>
      <c r="H184" s="19">
        <v>45726</v>
      </c>
      <c r="I184" s="20">
        <v>187.57</v>
      </c>
      <c r="J184" s="12">
        <f t="shared" si="5"/>
        <v>438.76</v>
      </c>
      <c r="K184" s="11" t="str">
        <f t="shared" si="6"/>
        <v>Mar-2025</v>
      </c>
    </row>
    <row r="185" spans="1:11" ht="19.8" customHeight="1" x14ac:dyDescent="0.3">
      <c r="A185" s="16" t="s">
        <v>274</v>
      </c>
      <c r="B185" s="17" t="s">
        <v>37</v>
      </c>
      <c r="C185" s="17" t="s">
        <v>10</v>
      </c>
      <c r="D185" s="17" t="s">
        <v>13</v>
      </c>
      <c r="E185" s="18">
        <v>864.98</v>
      </c>
      <c r="F185" s="18">
        <v>2</v>
      </c>
      <c r="G185" s="18">
        <v>0.05</v>
      </c>
      <c r="H185" s="19">
        <v>45727</v>
      </c>
      <c r="I185" s="20">
        <v>410.87</v>
      </c>
      <c r="J185" s="12">
        <f t="shared" si="5"/>
        <v>864.98</v>
      </c>
      <c r="K185" s="11" t="str">
        <f t="shared" si="6"/>
        <v>Mar-2025</v>
      </c>
    </row>
    <row r="186" spans="1:11" ht="19.8" customHeight="1" x14ac:dyDescent="0.3">
      <c r="A186" s="16" t="s">
        <v>275</v>
      </c>
      <c r="B186" s="17" t="s">
        <v>37</v>
      </c>
      <c r="C186" s="17" t="s">
        <v>10</v>
      </c>
      <c r="D186" s="17" t="s">
        <v>21</v>
      </c>
      <c r="E186" s="18">
        <v>984.93</v>
      </c>
      <c r="F186" s="18">
        <v>14</v>
      </c>
      <c r="G186" s="18">
        <v>0.2</v>
      </c>
      <c r="H186" s="19">
        <v>45733</v>
      </c>
      <c r="I186" s="20">
        <v>275.77999999999997</v>
      </c>
      <c r="J186" s="12">
        <f t="shared" si="5"/>
        <v>984.93</v>
      </c>
      <c r="K186" s="11" t="str">
        <f t="shared" si="6"/>
        <v>Mar-2025</v>
      </c>
    </row>
    <row r="187" spans="1:11" ht="19.8" customHeight="1" x14ac:dyDescent="0.3">
      <c r="A187" s="16" t="s">
        <v>276</v>
      </c>
      <c r="B187" s="17" t="s">
        <v>37</v>
      </c>
      <c r="C187" s="17" t="s">
        <v>10</v>
      </c>
      <c r="D187" s="17" t="s">
        <v>13</v>
      </c>
      <c r="E187" s="18">
        <v>1493.49</v>
      </c>
      <c r="F187" s="18">
        <v>18</v>
      </c>
      <c r="G187" s="18">
        <v>0</v>
      </c>
      <c r="H187" s="19">
        <v>45734</v>
      </c>
      <c r="I187" s="20">
        <v>746.74</v>
      </c>
      <c r="J187" s="12">
        <f t="shared" si="5"/>
        <v>1493.49</v>
      </c>
      <c r="K187" s="11" t="str">
        <f t="shared" si="6"/>
        <v>Mar-2025</v>
      </c>
    </row>
    <row r="188" spans="1:11" ht="19.8" customHeight="1" x14ac:dyDescent="0.3">
      <c r="A188" s="16" t="s">
        <v>277</v>
      </c>
      <c r="B188" s="17" t="s">
        <v>36</v>
      </c>
      <c r="C188" s="17" t="s">
        <v>16</v>
      </c>
      <c r="D188" s="17" t="s">
        <v>13</v>
      </c>
      <c r="E188" s="18">
        <v>689.43</v>
      </c>
      <c r="F188" s="18">
        <v>9</v>
      </c>
      <c r="G188" s="18">
        <v>0.1</v>
      </c>
      <c r="H188" s="19">
        <v>45736</v>
      </c>
      <c r="I188" s="20">
        <v>310.24</v>
      </c>
      <c r="J188" s="12">
        <f t="shared" si="5"/>
        <v>689.43</v>
      </c>
      <c r="K188" s="11" t="str">
        <f t="shared" si="6"/>
        <v>Mar-2025</v>
      </c>
    </row>
    <row r="189" spans="1:11" ht="19.8" customHeight="1" x14ac:dyDescent="0.3">
      <c r="A189" s="16" t="s">
        <v>278</v>
      </c>
      <c r="B189" s="17" t="s">
        <v>39</v>
      </c>
      <c r="C189" s="17" t="s">
        <v>16</v>
      </c>
      <c r="D189" s="17" t="s">
        <v>13</v>
      </c>
      <c r="E189" s="18">
        <v>682.24</v>
      </c>
      <c r="F189" s="18">
        <v>1</v>
      </c>
      <c r="G189" s="18">
        <v>0</v>
      </c>
      <c r="H189" s="19">
        <v>45738</v>
      </c>
      <c r="I189" s="20">
        <v>341.12</v>
      </c>
      <c r="J189" s="12">
        <f t="shared" si="5"/>
        <v>682.24</v>
      </c>
      <c r="K189" s="11" t="str">
        <f t="shared" si="6"/>
        <v>Mar-2025</v>
      </c>
    </row>
    <row r="190" spans="1:11" ht="19.8" customHeight="1" x14ac:dyDescent="0.3">
      <c r="A190" s="16" t="s">
        <v>279</v>
      </c>
      <c r="B190" s="17" t="s">
        <v>20</v>
      </c>
      <c r="C190" s="17" t="s">
        <v>19</v>
      </c>
      <c r="D190" s="17" t="s">
        <v>17</v>
      </c>
      <c r="E190" s="18">
        <v>458.54</v>
      </c>
      <c r="F190" s="18">
        <v>15</v>
      </c>
      <c r="G190" s="18">
        <v>0.2</v>
      </c>
      <c r="H190" s="19">
        <v>45741</v>
      </c>
      <c r="I190" s="20">
        <v>91.71</v>
      </c>
      <c r="J190" s="12">
        <f t="shared" si="5"/>
        <v>458.54</v>
      </c>
      <c r="K190" s="11" t="str">
        <f t="shared" si="6"/>
        <v>Mar-2025</v>
      </c>
    </row>
    <row r="191" spans="1:11" ht="19.8" customHeight="1" x14ac:dyDescent="0.3">
      <c r="A191" s="16" t="s">
        <v>280</v>
      </c>
      <c r="B191" s="17" t="s">
        <v>20</v>
      </c>
      <c r="C191" s="17" t="s">
        <v>16</v>
      </c>
      <c r="D191" s="17" t="s">
        <v>21</v>
      </c>
      <c r="E191" s="18">
        <v>1184.25</v>
      </c>
      <c r="F191" s="18">
        <v>11</v>
      </c>
      <c r="G191" s="18">
        <v>0.2</v>
      </c>
      <c r="H191" s="19">
        <v>45742</v>
      </c>
      <c r="I191" s="20">
        <v>331.59</v>
      </c>
      <c r="J191" s="12">
        <f t="shared" si="5"/>
        <v>1184.25</v>
      </c>
      <c r="K191" s="11" t="str">
        <f t="shared" si="6"/>
        <v>Mar-2025</v>
      </c>
    </row>
    <row r="192" spans="1:11" ht="19.8" customHeight="1" x14ac:dyDescent="0.3">
      <c r="A192" s="16" t="s">
        <v>281</v>
      </c>
      <c r="B192" s="17" t="s">
        <v>9</v>
      </c>
      <c r="C192" s="17" t="s">
        <v>16</v>
      </c>
      <c r="D192" s="17" t="s">
        <v>13</v>
      </c>
      <c r="E192" s="18">
        <v>762.14</v>
      </c>
      <c r="F192" s="18">
        <v>9</v>
      </c>
      <c r="G192" s="18">
        <v>0</v>
      </c>
      <c r="H192" s="19">
        <v>45743</v>
      </c>
      <c r="I192" s="20">
        <v>381.07</v>
      </c>
      <c r="J192" s="12">
        <f t="shared" si="5"/>
        <v>762.14</v>
      </c>
      <c r="K192" s="11" t="str">
        <f t="shared" si="6"/>
        <v>Mar-2025</v>
      </c>
    </row>
    <row r="193" spans="1:11" ht="19.8" customHeight="1" x14ac:dyDescent="0.3">
      <c r="A193" s="16" t="s">
        <v>282</v>
      </c>
      <c r="B193" s="17" t="s">
        <v>36</v>
      </c>
      <c r="C193" s="17" t="s">
        <v>19</v>
      </c>
      <c r="D193" s="17" t="s">
        <v>11</v>
      </c>
      <c r="E193" s="18">
        <v>750.71</v>
      </c>
      <c r="F193" s="18">
        <v>10</v>
      </c>
      <c r="G193" s="18">
        <v>0.15</v>
      </c>
      <c r="H193" s="19">
        <v>45743</v>
      </c>
      <c r="I193" s="20">
        <v>255.24</v>
      </c>
      <c r="J193" s="12">
        <f t="shared" si="5"/>
        <v>750.71</v>
      </c>
      <c r="K193" s="11" t="str">
        <f t="shared" si="6"/>
        <v>Mar-2025</v>
      </c>
    </row>
    <row r="194" spans="1:11" ht="19.8" customHeight="1" x14ac:dyDescent="0.3">
      <c r="A194" s="16" t="s">
        <v>283</v>
      </c>
      <c r="B194" s="17" t="s">
        <v>45</v>
      </c>
      <c r="C194" s="17" t="s">
        <v>25</v>
      </c>
      <c r="D194" s="17" t="s">
        <v>13</v>
      </c>
      <c r="E194" s="18">
        <v>1456.94</v>
      </c>
      <c r="F194" s="18">
        <v>14</v>
      </c>
      <c r="G194" s="18">
        <v>0.05</v>
      </c>
      <c r="H194" s="19">
        <v>45745</v>
      </c>
      <c r="I194" s="20">
        <v>692.05</v>
      </c>
      <c r="J194" s="12">
        <f t="shared" si="5"/>
        <v>1456.94</v>
      </c>
      <c r="K194" s="11" t="str">
        <f t="shared" si="6"/>
        <v>Mar-2025</v>
      </c>
    </row>
    <row r="195" spans="1:11" ht="19.8" customHeight="1" x14ac:dyDescent="0.3">
      <c r="A195" s="16" t="s">
        <v>284</v>
      </c>
      <c r="B195" s="17" t="s">
        <v>40</v>
      </c>
      <c r="C195" s="17" t="s">
        <v>15</v>
      </c>
      <c r="D195" s="17" t="s">
        <v>21</v>
      </c>
      <c r="E195" s="18">
        <v>1093.3800000000001</v>
      </c>
      <c r="F195" s="18">
        <v>17</v>
      </c>
      <c r="G195" s="18">
        <v>0.1</v>
      </c>
      <c r="H195" s="19">
        <v>45745</v>
      </c>
      <c r="I195" s="20">
        <v>344.41</v>
      </c>
      <c r="J195" s="12">
        <f t="shared" ref="J195:J201" si="7">SUMIF($A:$A,A195,$E:$E)</f>
        <v>1093.3800000000001</v>
      </c>
      <c r="K195" s="11" t="str">
        <f t="shared" ref="K195:K201" si="8">TEXT(H195, "MMM-YYYY")</f>
        <v>Mar-2025</v>
      </c>
    </row>
    <row r="196" spans="1:11" ht="19.8" customHeight="1" x14ac:dyDescent="0.3">
      <c r="A196" s="16" t="s">
        <v>285</v>
      </c>
      <c r="B196" s="17" t="s">
        <v>30</v>
      </c>
      <c r="C196" s="17" t="s">
        <v>10</v>
      </c>
      <c r="D196" s="17" t="s">
        <v>13</v>
      </c>
      <c r="E196" s="18">
        <v>934.27</v>
      </c>
      <c r="F196" s="18">
        <v>8</v>
      </c>
      <c r="G196" s="18">
        <v>0.15</v>
      </c>
      <c r="H196" s="19">
        <v>45746</v>
      </c>
      <c r="I196" s="20">
        <v>397.06</v>
      </c>
      <c r="J196" s="12">
        <f t="shared" si="7"/>
        <v>934.27</v>
      </c>
      <c r="K196" s="11" t="str">
        <f t="shared" si="8"/>
        <v>Mar-2025</v>
      </c>
    </row>
    <row r="197" spans="1:11" ht="19.8" customHeight="1" x14ac:dyDescent="0.3">
      <c r="A197" s="16" t="s">
        <v>286</v>
      </c>
      <c r="B197" s="17" t="s">
        <v>26</v>
      </c>
      <c r="C197" s="17" t="s">
        <v>25</v>
      </c>
      <c r="D197" s="17" t="s">
        <v>13</v>
      </c>
      <c r="E197" s="18">
        <v>1465.35</v>
      </c>
      <c r="F197" s="18">
        <v>8</v>
      </c>
      <c r="G197" s="18">
        <v>0.2</v>
      </c>
      <c r="H197" s="19">
        <v>45746</v>
      </c>
      <c r="I197" s="20">
        <v>586.14</v>
      </c>
      <c r="J197" s="12">
        <f t="shared" si="7"/>
        <v>1465.35</v>
      </c>
      <c r="K197" s="11" t="str">
        <f t="shared" si="8"/>
        <v>Mar-2025</v>
      </c>
    </row>
    <row r="198" spans="1:11" ht="19.8" customHeight="1" x14ac:dyDescent="0.3">
      <c r="A198" s="16" t="s">
        <v>287</v>
      </c>
      <c r="B198" s="17" t="s">
        <v>12</v>
      </c>
      <c r="C198" s="17" t="s">
        <v>16</v>
      </c>
      <c r="D198" s="17" t="s">
        <v>28</v>
      </c>
      <c r="E198" s="18">
        <v>740.8</v>
      </c>
      <c r="F198" s="18">
        <v>3</v>
      </c>
      <c r="G198" s="18">
        <v>0</v>
      </c>
      <c r="H198" s="19">
        <v>45749</v>
      </c>
      <c r="I198" s="20">
        <v>333.36</v>
      </c>
      <c r="J198" s="12">
        <f t="shared" si="7"/>
        <v>740.8</v>
      </c>
      <c r="K198" s="11" t="str">
        <f t="shared" si="8"/>
        <v>Apr-2025</v>
      </c>
    </row>
    <row r="199" spans="1:11" ht="19.8" customHeight="1" x14ac:dyDescent="0.3">
      <c r="A199" s="16" t="s">
        <v>288</v>
      </c>
      <c r="B199" s="17" t="s">
        <v>30</v>
      </c>
      <c r="C199" s="17" t="s">
        <v>10</v>
      </c>
      <c r="D199" s="17" t="s">
        <v>28</v>
      </c>
      <c r="E199" s="18">
        <v>545.44000000000005</v>
      </c>
      <c r="F199" s="18">
        <v>17</v>
      </c>
      <c r="G199" s="18">
        <v>0</v>
      </c>
      <c r="H199" s="19">
        <v>45752</v>
      </c>
      <c r="I199" s="20">
        <v>245.45</v>
      </c>
      <c r="J199" s="12">
        <f t="shared" si="7"/>
        <v>545.44000000000005</v>
      </c>
      <c r="K199" s="11" t="str">
        <f t="shared" si="8"/>
        <v>Apr-2025</v>
      </c>
    </row>
    <row r="200" spans="1:11" ht="19.8" customHeight="1" x14ac:dyDescent="0.3">
      <c r="A200" s="16" t="s">
        <v>289</v>
      </c>
      <c r="B200" s="17" t="s">
        <v>26</v>
      </c>
      <c r="C200" s="17" t="s">
        <v>15</v>
      </c>
      <c r="D200" s="17" t="s">
        <v>11</v>
      </c>
      <c r="E200" s="18">
        <v>997.61</v>
      </c>
      <c r="F200" s="18">
        <v>8</v>
      </c>
      <c r="G200" s="18">
        <v>0.05</v>
      </c>
      <c r="H200" s="19">
        <v>45752</v>
      </c>
      <c r="I200" s="20">
        <v>379.09</v>
      </c>
      <c r="J200" s="12">
        <f t="shared" si="7"/>
        <v>997.61</v>
      </c>
      <c r="K200" s="11" t="str">
        <f t="shared" si="8"/>
        <v>Apr-2025</v>
      </c>
    </row>
    <row r="201" spans="1:11" ht="19.8" customHeight="1" x14ac:dyDescent="0.3">
      <c r="A201" s="21" t="s">
        <v>290</v>
      </c>
      <c r="B201" s="22" t="s">
        <v>26</v>
      </c>
      <c r="C201" s="22" t="s">
        <v>16</v>
      </c>
      <c r="D201" s="22" t="s">
        <v>13</v>
      </c>
      <c r="E201" s="23">
        <v>928.32</v>
      </c>
      <c r="F201" s="23">
        <v>2</v>
      </c>
      <c r="G201" s="23">
        <v>0.05</v>
      </c>
      <c r="H201" s="24">
        <v>45754</v>
      </c>
      <c r="I201" s="25">
        <v>440.95</v>
      </c>
      <c r="J201" s="12">
        <f t="shared" si="7"/>
        <v>928.32</v>
      </c>
      <c r="K201" s="11" t="str">
        <f t="shared" si="8"/>
        <v>Apr-2025</v>
      </c>
    </row>
  </sheetData>
  <mergeCells count="2">
    <mergeCell ref="Q1:R1"/>
    <mergeCell ref="S1:T1"/>
  </mergeCells>
  <conditionalFormatting sqref="G11">
    <cfRule type="expression" dxfId="15" priority="5">
      <formula>RANK($J2,$J$2:$J$200,0)&lt;=10</formula>
    </cfRule>
  </conditionalFormatting>
  <conditionalFormatting sqref="A2:J201">
    <cfRule type="expression" dxfId="14" priority="4">
      <formula>RANK($J2,$J$2:$J$201)&lt;=10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 id="{1BEBA3E9-19A8-4D7F-8785-415571382D14}">
            <x14:iconSet iconSet="3Arrows" custom="1">
              <x14:cfvo type="percent">
                <xm:f>0</xm:f>
              </x14:cfvo>
              <x14:cfvo type="num">
                <xm:f>0</xm:f>
              </x14:cfvo>
              <x14:cfvo type="num">
                <xm:f>0</xm:f>
              </x14:cfvo>
              <x14:cfIcon iconSet="3Arrows" iconId="0"/>
              <x14:cfIcon iconSet="NoIcons" iconId="0"/>
              <x14:cfIcon iconSet="3Arrows" iconId="2"/>
            </x14:iconSet>
          </x14:cfRule>
          <xm:sqref>N3:N14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6667-3A8E-423D-A690-FF229638B169}">
  <dimension ref="A1"/>
  <sheetViews>
    <sheetView showGridLines="0" tabSelected="1" zoomScaleNormal="96" workbookViewId="0">
      <selection activeCell="P32" sqref="P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Linear Regression</vt:lpstr>
      <vt:lpstr>pivot table and chart</vt:lpstr>
      <vt:lpstr>Descriptive Statistics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2026-02-12T11:41:28Z</dcterms:created>
  <dcterms:modified xsi:type="dcterms:W3CDTF">2026-03-31T05:42:32Z</dcterms:modified>
</cp:coreProperties>
</file>