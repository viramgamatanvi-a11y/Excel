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alldata\Excel\"/>
    </mc:Choice>
  </mc:AlternateContent>
  <xr:revisionPtr revIDLastSave="0" documentId="13_ncr:1_{87B51D34-9252-4916-8881-E2426DF26B11}" xr6:coauthVersionLast="36" xr6:coauthVersionMax="36" xr10:uidLastSave="{00000000-0000-0000-0000-000000000000}"/>
  <bookViews>
    <workbookView xWindow="0" yWindow="0" windowWidth="23040" windowHeight="8940" activeTab="1" xr2:uid="{5B3F4F81-9E2D-49F3-AED2-8DB09F6C1BAA}"/>
  </bookViews>
  <sheets>
    <sheet name="Students" sheetId="1" r:id="rId1"/>
    <sheet name="Sales" sheetId="2" r:id="rId2"/>
    <sheet name="Employe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 a="1"/>
  <c r="N2" i="2" s="1"/>
  <c r="G12" i="1"/>
  <c r="Q2" i="1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H2" i="3"/>
  <c r="G19" i="2"/>
  <c r="U2" i="2"/>
  <c r="O2" i="2"/>
  <c r="I2" i="2"/>
  <c r="G2" i="2"/>
  <c r="H2" i="2" s="1"/>
  <c r="M2" i="1"/>
  <c r="L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S2" i="1"/>
  <c r="W2" i="1" l="1"/>
  <c r="V2" i="1"/>
  <c r="U2" i="1"/>
  <c r="K2" i="3"/>
  <c r="J2" i="3"/>
  <c r="Q2" i="2"/>
  <c r="P2" i="2"/>
  <c r="R2" i="1"/>
  <c r="I2" i="3"/>
  <c r="P2" i="1"/>
  <c r="T2" i="2"/>
  <c r="M2" i="3"/>
  <c r="L2" i="2" l="1"/>
  <c r="O2" i="1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H4" i="2"/>
  <c r="H5" i="2"/>
  <c r="H6" i="2"/>
  <c r="H7" i="2"/>
  <c r="H8" i="2"/>
  <c r="H9" i="2"/>
  <c r="H10" i="2"/>
  <c r="H16" i="2"/>
  <c r="H17" i="2"/>
  <c r="H18" i="2"/>
  <c r="H19" i="2"/>
  <c r="H20" i="2"/>
  <c r="H21" i="2"/>
  <c r="G3" i="2"/>
  <c r="H3" i="2" s="1"/>
  <c r="G4" i="2"/>
  <c r="G5" i="2"/>
  <c r="G6" i="2"/>
  <c r="G7" i="2"/>
  <c r="G8" i="2"/>
  <c r="G9" i="2"/>
  <c r="G10" i="2"/>
  <c r="G11" i="2"/>
  <c r="H11" i="2" s="1"/>
  <c r="G12" i="2"/>
  <c r="H12" i="2" s="1"/>
  <c r="G13" i="2"/>
  <c r="H13" i="2" s="1"/>
  <c r="G14" i="2"/>
  <c r="H14" i="2" s="1"/>
  <c r="G15" i="2"/>
  <c r="H15" i="2" s="1"/>
  <c r="G16" i="2"/>
  <c r="G17" i="2"/>
  <c r="G18" i="2"/>
  <c r="G20" i="2"/>
  <c r="G21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2" i="1"/>
  <c r="G3" i="1"/>
  <c r="G4" i="1"/>
  <c r="G5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<sst xmlns="http://schemas.openxmlformats.org/spreadsheetml/2006/main" count="203" uniqueCount="130">
  <si>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</si>
  <si>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</si>
  <si>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</si>
  <si>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</si>
  <si>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</si>
  <si>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</si>
  <si>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</si>
  <si>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</si>
  <si>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</si>
  <si>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</si>
  <si>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</si>
  <si>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</si>
  <si>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</si>
  <si>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</si>
  <si>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</si>
  <si>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</si>
  <si>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</si>
  <si>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</si>
  <si>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</si>
  <si>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</si>
  <si>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ID</t>
  </si>
  <si>
    <t>Name</t>
  </si>
  <si>
    <t>Science</t>
  </si>
  <si>
    <t>English</t>
  </si>
  <si>
    <t>Enrollment Date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</si>
  <si>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</si>
  <si>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</si>
  <si>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</si>
  <si>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</si>
  <si>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</si>
  <si>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</si>
  <si>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</si>
  <si>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</si>
  <si>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</si>
  <si>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</si>
  <si>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</si>
  <si>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</si>
  <si>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</si>
  <si>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</si>
  <si>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</si>
  <si>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</si>
  <si>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</si>
  <si>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</si>
  <si>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</si>
  <si>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</si>
  <si>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</si>
  <si>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</si>
  <si>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</si>
  <si>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</si>
  <si>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</si>
  <si>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</si>
  <si>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</si>
  <si>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</si>
  <si>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</si>
  <si>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</si>
  <si>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</si>
  <si>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</si>
  <si>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</si>
  <si>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</si>
  <si>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</si>
  <si>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</si>
  <si>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</si>
  <si>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</si>
  <si>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</si>
  <si>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</si>
  <si>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</si>
  <si>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</si>
  <si>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</si>
  <si>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</si>
  <si>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</si>
  <si>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</si>
  <si>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</si>
  <si>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</si>
  <si>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</si>
  <si>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</si>
  <si>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</si>
  <si>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</si>
  <si>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</si>
  <si>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</si>
  <si>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</si>
  <si>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</si>
  <si>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</si>
  <si>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</si>
  <si>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</si>
  <si>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</si>
  <si>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</si>
  <si>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</si>
  <si>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</si>
  <si>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Percentage</t>
  </si>
  <si>
    <t>Absolute</t>
  </si>
  <si>
    <t>Grade</t>
  </si>
  <si>
    <t>Total Score</t>
  </si>
  <si>
    <t>Discount%</t>
  </si>
  <si>
    <t>Above 80 in M &amp; S</t>
  </si>
  <si>
    <t>Discount Eligible</t>
  </si>
  <si>
    <t>Above 50 in Math</t>
  </si>
  <si>
    <t>Sumifs</t>
  </si>
  <si>
    <t>Scored above 60</t>
  </si>
  <si>
    <t>Student Name</t>
  </si>
  <si>
    <t>Product Code</t>
  </si>
  <si>
    <t>Product Price</t>
  </si>
  <si>
    <t>INDEX+MATCH</t>
  </si>
  <si>
    <t>LEFT and FIND</t>
  </si>
  <si>
    <t>UPPERCASE</t>
  </si>
  <si>
    <t>LOWERCASE</t>
  </si>
  <si>
    <t>XLOOKUP</t>
  </si>
  <si>
    <t>XLOOKUP is not</t>
  </si>
  <si>
    <t>available</t>
  </si>
  <si>
    <t>XMATCH</t>
  </si>
  <si>
    <t>XMATCH is not</t>
  </si>
  <si>
    <t>INDIRECT</t>
  </si>
  <si>
    <t>OFFSET</t>
  </si>
  <si>
    <t>DATE and TIME</t>
  </si>
  <si>
    <t>DATEDIF function</t>
  </si>
  <si>
    <t>is not</t>
  </si>
  <si>
    <t>ROUND</t>
  </si>
  <si>
    <t>CEILING</t>
  </si>
  <si>
    <t>FLOOR</t>
  </si>
  <si>
    <t>FILTER</t>
  </si>
  <si>
    <t xml:space="preserve">FILTER function </t>
  </si>
  <si>
    <t>Amount2</t>
  </si>
  <si>
    <t>EmployeeID</t>
  </si>
  <si>
    <t>Details</t>
  </si>
  <si>
    <t>Maths</t>
  </si>
  <si>
    <t>Department/Salary</t>
  </si>
  <si>
    <t>StudentID</t>
  </si>
  <si>
    <t>DAY</t>
  </si>
  <si>
    <t>MONTH</t>
  </si>
  <si>
    <t>YEAR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</si>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</sst>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67">
    <dxf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59E13-3DE0-4772-BE60-1490672334D6}" name="Table1" displayName="Table1" ref="A1:X21" totalsRowShown="0">
  <autoFilter ref="A1:X21" xr:uid="{A4F59EBB-03E1-46E5-8065-4C9811818A47}"/>
  <tableColumns count="24">
    <tableColumn id="1" xr3:uid="{78ACFEED-ED53-4A44-9FCE-3E3F36BCBD07}" name="Student ID" dataDxfId="66"/>
    <tableColumn id="2" xr3:uid="{EF20512E-B193-4B7F-AA55-4485DFB12C78}" name="Name" dataDxfId="65"/>
    <tableColumn id="3" xr3:uid="{7DB20CD8-BD65-48D6-8731-E5F3597168D4}" name="Maths" dataDxfId="64"/>
    <tableColumn id="4" xr3:uid="{3CC4B4DA-DA9F-459A-95D2-66AB8EED516E}" name="Science" dataDxfId="63"/>
    <tableColumn id="5" xr3:uid="{F7606102-4754-4F76-993F-CA0573D05FD0}" name="English" dataDxfId="62"/>
    <tableColumn id="6" xr3:uid="{66ACF813-ACB1-429A-B777-3100A54A4F60}" name="Enrollment Date" dataDxfId="61"/>
    <tableColumn id="7" xr3:uid="{06D7647D-5375-4275-9C8B-DAB9AD9E214B}" name="Total Score" dataDxfId="60">
      <calculatedColumnFormula>C2+D2+E2</calculatedColumnFormula>
    </tableColumn>
    <tableColumn id="8" xr3:uid="{E875E3F4-A4A3-4070-A042-82911D1F8A0D}" name="Absolute" dataDxfId="59"/>
    <tableColumn id="9" xr3:uid="{2962E836-C0F5-4540-9798-800C95E97F29}" name="Percentage" dataDxfId="58">
      <calculatedColumnFormula>G2/$H$2*100</calculatedColumnFormula>
    </tableColumn>
    <tableColumn id="10" xr3:uid="{9E10CCD6-3049-445E-A59D-CB9041802268}" name="Grade" dataDxfId="57">
      <calculatedColumnFormula>IF(G2&gt;=250,"A",IF(G2&gt;=200,"B",IF(G2&gt;=150,"C","F")))</calculatedColumnFormula>
    </tableColumn>
    <tableColumn id="11" xr3:uid="{40D36A09-B4F1-4848-B36C-98551BD2A1AE}" name="Above 80 in M &amp; S" dataDxfId="56">
      <calculatedColumnFormula>IF(AND(C2&gt;80,D2&gt;80),"Yes","No")</calculatedColumnFormula>
    </tableColumn>
    <tableColumn id="12" xr3:uid="{C48610E5-471F-4E9A-869C-1FA8FFCD843F}" name="Above 50 in Math" dataDxfId="55">
      <calculatedColumnFormula>COUNTIFS(C2:C21,"&gt;50")</calculatedColumnFormula>
    </tableColumn>
    <tableColumn id="13" xr3:uid="{96C83A5E-E02E-439E-83FC-9B9AF574F6BD}" name="Scored above 60" dataDxfId="54">
      <calculatedColumnFormula>COUNTIFS(C2:E21,"&gt;60")</calculatedColumnFormula>
    </tableColumn>
    <tableColumn id="14" xr3:uid="{27351886-8EC9-4718-82CF-FE65BE435AB4}" name="StudentID" dataDxfId="53"/>
    <tableColumn id="15" xr3:uid="{252065B2-781B-4CCA-823E-DB680B28F66C}" name="Student Name" dataDxfId="52"/>
    <tableColumn id="16" xr3:uid="{7CAF6E4A-515D-4087-BB77-AAC154281AE7}" name="LEFT and FIND" dataDxfId="51"/>
    <tableColumn id="17" xr3:uid="{9DB87187-CDAF-4FE7-8BE2-AED2352B799D}" name="UPPERCASE" dataDxfId="50">
      <calculatedColumnFormula>UPPER(B2)</calculatedColumnFormula>
    </tableColumn>
    <tableColumn id="18" xr3:uid="{1CC7AA49-5DA8-4788-AA16-98D75761320D}" name="LOWERCASE" dataDxfId="49"/>
    <tableColumn id="19" xr3:uid="{8FAE84D4-CFC0-46AA-8D31-1D91AAF895CB}" name="INDIRECT" dataDxfId="48">
      <calculatedColumnFormula>INDIRECT("B3")</calculatedColumnFormula>
    </tableColumn>
    <tableColumn id="20" xr3:uid="{CD4AF4BD-5311-44DE-9961-E89EA87BF609}" name="DATE and TIME" dataDxfId="47"/>
    <tableColumn id="21" xr3:uid="{B4E074F9-E8B2-427D-93DE-AB374227F9F8}" name="ROUND" dataDxfId="46"/>
    <tableColumn id="22" xr3:uid="{A8FA1199-339E-4FE5-BF4B-DE5B40A07274}" name="CEILING" dataDxfId="45"/>
    <tableColumn id="23" xr3:uid="{9E47966E-C4E2-4AF5-8048-02DDDBF4E0AC}" name="FLOOR" dataDxfId="44"/>
    <tableColumn id="24" xr3:uid="{B5ED0135-E387-4D82-8E6F-5834681E0814}" name="FILTER" dataDxfId="4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EF757D-FC20-4A8D-908C-D21409E780A7}" name="Table2" displayName="Table2" ref="A1:V21" totalsRowShown="0" headerRowDxfId="42" dataDxfId="41">
  <autoFilter ref="A1:V21" xr:uid="{D146DB42-00CB-4047-AB53-B808407CA9E2}"/>
  <tableColumns count="22">
    <tableColumn id="1" xr3:uid="{0C8EBB9C-3AB6-4B0C-A833-DEB98A5FFB5D}" name="Sales ID" dataDxfId="40"/>
    <tableColumn id="2" xr3:uid="{85ACA804-8911-4C2F-8EE1-AC18A595E1BF}" name="Product" dataDxfId="39"/>
    <tableColumn id="3" xr3:uid="{68139435-E046-4A32-8298-4DF78F074D54}" name="Region" dataDxfId="38"/>
    <tableColumn id="4" xr3:uid="{8CB6CA74-B0FA-4227-9960-3618132A9C07}" name="Salesperson" dataDxfId="37"/>
    <tableColumn id="5" xr3:uid="{AF905ED9-0DC1-4107-9727-5815CC1E02CF}" name="Amount" dataDxfId="36"/>
    <tableColumn id="6" xr3:uid="{96A67778-174D-418B-8ECA-DA7340D832A8}" name="Date" dataDxfId="35"/>
    <tableColumn id="7" xr3:uid="{71F96207-0783-4E5E-848C-C29D504BBC0D}" name="Discount%" dataDxfId="34">
      <calculatedColumnFormula>IF(E2&gt;=40000,20%,IF(E2&gt;=20000,10%,5%))</calculatedColumnFormula>
    </tableColumn>
    <tableColumn id="8" xr3:uid="{73043C56-9A9C-4004-8239-0AE62B93DA6E}" name="Amount2" dataDxfId="33">
      <calculatedColumnFormula>E2*G2</calculatedColumnFormula>
    </tableColumn>
    <tableColumn id="9" xr3:uid="{318DD497-1D9C-4569-B0CD-68E9E8E73504}" name="Discount Eligible" dataDxfId="32">
      <calculatedColumnFormula>IF(OR(E2&gt;=30000,C2="North"),"Eligible","Not Eligible")</calculatedColumnFormula>
    </tableColumn>
    <tableColumn id="10" xr3:uid="{5F7CCBB6-4AB7-4295-8912-3423A16A354C}" name="Sumifs" dataDxfId="31"/>
    <tableColumn id="11" xr3:uid="{869FC36C-F54E-42B2-B5A0-AD148C42957C}" name="Product Code" dataDxfId="30"/>
    <tableColumn id="12" xr3:uid="{1708E633-74A8-405D-9F2F-0A0D270D0E57}" name="Product Price" dataDxfId="29"/>
    <tableColumn id="13" xr3:uid="{47EBB747-CFAB-488B-A182-0A2E0AB3757E}" name="Date2" dataDxfId="28"/>
    <tableColumn id="14" xr3:uid="{DC93815F-F902-4F57-992E-BCC717D797F5}" name="INDEX+MATCH" dataDxfId="27"/>
    <tableColumn id="15" xr3:uid="{C54BD86C-BD50-426E-ADEF-967592BBD8BF}" name="LEFT and FIND" dataDxfId="26">
      <calculatedColumnFormula>LEFT(D2,FIND(" ",D2)-1)</calculatedColumnFormula>
    </tableColumn>
    <tableColumn id="16" xr3:uid="{5E6AA0E8-64A1-4E0D-89C2-7F26AEA29413}" name="UPPERCASE" dataDxfId="25"/>
    <tableColumn id="17" xr3:uid="{095F6C74-2F08-429C-B046-0D3B8AC169C8}" name="LOWERCASE" dataDxfId="24"/>
    <tableColumn id="18" xr3:uid="{01D6A7D2-5309-4E35-9078-EED492326169}" name="XLOOKUP" dataDxfId="23"/>
    <tableColumn id="19" xr3:uid="{C5709F73-1E5E-4B61-BCE9-5519BE366B66}" name="XMATCH" dataDxfId="22"/>
    <tableColumn id="20" xr3:uid="{2DD0F0AC-558D-4BBB-AA8F-EE590D900EF2}" name="INDIRECT" dataDxfId="21"/>
    <tableColumn id="21" xr3:uid="{D254CA38-A1D2-4A82-BE8A-CD14C8DCEA2A}" name="OFFSET" dataDxfId="20">
      <calculatedColumnFormula>SUM(OFFSET(E2,COUNT(E:E)-5,0,5,1))</calculatedColumnFormula>
    </tableColumn>
    <tableColumn id="22" xr3:uid="{DF0C4DFD-C55F-4102-804F-0D2EB8D52837}" name="DATE and TIME" dataDxfId="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866F67-A1E1-4601-88BB-15578630FDC4}" name="Table3" displayName="Table3" ref="A1:Q21" totalsRowShown="0" headerRowDxfId="18" dataDxfId="17">
  <autoFilter ref="A1:Q21" xr:uid="{6AE1F544-EAC7-40DD-AD48-10FE61AE6EC9}"/>
  <tableColumns count="17">
    <tableColumn id="1" xr3:uid="{C004965F-FE82-4DE9-B693-E8597B771008}" name="Employee ID" dataDxfId="16"/>
    <tableColumn id="2" xr3:uid="{A757A2B7-BF48-40DF-9827-26951F0C434E}" name="Name" dataDxfId="15"/>
    <tableColumn id="3" xr3:uid="{813E77FB-802E-47D5-A303-C7EE7AEF1CBE}" name="Department" dataDxfId="14"/>
    <tableColumn id="4" xr3:uid="{B1E6986B-D3A2-4FD6-901C-F3165A5B9D9D}" name="Salary" dataDxfId="13"/>
    <tableColumn id="5" xr3:uid="{B4E06B8E-1BF0-4FA9-8AC7-3E797B512FAE}" name="Joining Date" dataDxfId="12"/>
    <tableColumn id="6" xr3:uid="{AE2D725D-1214-4C2C-B105-A7861E699A14}" name="EmployeeID" dataDxfId="11"/>
    <tableColumn id="7" xr3:uid="{E490D417-8402-456A-98A9-5A63744421C0}" name="Department/Salary" dataDxfId="10"/>
    <tableColumn id="8" xr3:uid="{5722E762-AA2A-40BE-B0BF-15B0368C8B6C}" name="Details" dataDxfId="9">
      <calculatedColumnFormula>INDEX(A2:E21, MATCH(F2, A2:A21, 0), MATCH(G2,A1:E1,0))</calculatedColumnFormula>
    </tableColumn>
    <tableColumn id="9" xr3:uid="{9E4E4819-695C-4703-B16C-5AB43287D4E9}" name="LEFT and FIND" dataDxfId="8"/>
    <tableColumn id="10" xr3:uid="{190721A7-126B-46BC-A666-FC342D97C283}" name="UPPERCASE" dataDxfId="7"/>
    <tableColumn id="11" xr3:uid="{D0F1823D-4AE5-4990-B2F7-CE52C36B8C9A}" name="LOWERCASE" dataDxfId="6"/>
    <tableColumn id="12" xr3:uid="{788868D2-2FAB-4283-91CE-BB2B16E234A8}" name="XLOOKUP" dataDxfId="5"/>
    <tableColumn id="13" xr3:uid="{F9D115B0-29CE-4664-8CE6-953F5CBCAB0F}" name="INDIRECT" dataDxfId="4"/>
    <tableColumn id="14" xr3:uid="{34B91B01-ECE6-4BDC-A1B9-35F1044850CD}" name="DATE and TIME" dataDxfId="3"/>
    <tableColumn id="15" xr3:uid="{FD0264DA-CB7B-40B9-B600-AA6533BEEA6F}" name="DAY" dataDxfId="2">
      <calculatedColumnFormula>DAY(Table3[Joining Date])</calculatedColumnFormula>
    </tableColumn>
    <tableColumn id="16" xr3:uid="{79693141-7D6B-4902-98D3-F7955B206750}" name="MONTH" dataDxfId="1">
      <calculatedColumnFormula>MONTH(Table3[Joining Date])</calculatedColumnFormula>
    </tableColumn>
    <tableColumn id="17" xr3:uid="{20545079-60D2-42D0-A068-64D03A2037FC}" name="YEAR" dataDxfId="0">
      <calculatedColumnFormula>YEAR(Table3[Joining Date])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C0BF-202D-4C0F-96AA-7A26E218B3D4}">
  <dimension ref="A1:X47"/>
  <sheetViews>
    <sheetView zoomScale="93" zoomScaleNormal="88" workbookViewId="0">
      <selection activeCell="K2" sqref="K2"/>
    </sheetView>
  </sheetViews>
  <sheetFormatPr defaultColWidth="18.33203125" defaultRowHeight="19.2" customHeight="1" x14ac:dyDescent="0.3"/>
  <cols>
    <col min="11" max="11" width="21.77734375" bestFit="1" customWidth="1"/>
    <col min="12" max="13" width="28.5546875" customWidth="1"/>
  </cols>
  <sheetData>
    <row r="1" spans="1:24" ht="19.2" customHeight="1" x14ac:dyDescent="0.3">
      <c r="A1" s="1" t="s">
        <v>20</v>
      </c>
      <c r="B1" s="1" t="s">
        <v>21</v>
      </c>
      <c r="C1" s="1" t="s">
        <v>123</v>
      </c>
      <c r="D1" s="1" t="s">
        <v>22</v>
      </c>
      <c r="E1" s="1" t="s">
        <v>23</v>
      </c>
      <c r="F1" s="7" t="s">
        <v>24</v>
      </c>
      <c r="G1" s="1" t="s">
        <v>91</v>
      </c>
      <c r="H1" s="8" t="s">
        <v>89</v>
      </c>
      <c r="I1" s="1" t="s">
        <v>88</v>
      </c>
      <c r="J1" s="1" t="s">
        <v>90</v>
      </c>
      <c r="K1" s="1" t="s">
        <v>93</v>
      </c>
      <c r="L1" s="9" t="s">
        <v>95</v>
      </c>
      <c r="M1" s="9" t="s">
        <v>97</v>
      </c>
      <c r="N1" s="9" t="s">
        <v>125</v>
      </c>
      <c r="O1" s="9" t="s">
        <v>98</v>
      </c>
      <c r="P1" s="9" t="s">
        <v>102</v>
      </c>
      <c r="Q1" s="9" t="s">
        <v>103</v>
      </c>
      <c r="R1" s="9" t="s">
        <v>104</v>
      </c>
      <c r="S1" s="9" t="s">
        <v>110</v>
      </c>
      <c r="T1" s="1" t="s">
        <v>112</v>
      </c>
      <c r="U1" s="1" t="s">
        <v>115</v>
      </c>
      <c r="V1" s="1" t="s">
        <v>116</v>
      </c>
      <c r="W1" s="1" t="s">
        <v>117</v>
      </c>
      <c r="X1" s="1" t="s">
        <v>118</v>
      </c>
    </row>
    <row r="2" spans="1:24" ht="19.2" customHeight="1" x14ac:dyDescent="0.3">
      <c r="A2" s="3">
        <v>1001</v>
      </c>
      <c r="B2" s="3" t="s">
        <v>0</v>
      </c>
      <c r="C2" s="3">
        <v>61</v>
      </c>
      <c r="D2" s="3">
        <v>48</v>
      </c>
      <c r="E2" s="3">
        <v>76</v>
      </c>
      <c r="F2" s="4">
        <v>43101</v>
      </c>
      <c r="G2" s="3">
        <f>C2+D2+E2</f>
        <v>185</v>
      </c>
      <c r="H2" s="5">
        <v>300</v>
      </c>
      <c r="I2" s="3">
        <f>G2/$H$2*100</f>
        <v>61.666666666666671</v>
      </c>
      <c r="J2" s="3" t="str">
        <f>IF(G2&gt;=250,"A",IF(G2&gt;=200,"B",IF(G2&gt;=150,"C","F")))</f>
        <v>C</v>
      </c>
      <c r="K2" s="3" t="str">
        <f>IF(AND(C2&gt;80,D2&gt;80),"Yes","No")</f>
        <v>No</v>
      </c>
      <c r="L2" s="3">
        <f t="shared" ref="L2" si="0">COUNTIFS(C2:C21,"&gt;50")</f>
        <v>19</v>
      </c>
      <c r="M2" s="3">
        <f t="shared" ref="M2" si="1">COUNTIFS(C2:E21,"&gt;60")</f>
        <v>40</v>
      </c>
      <c r="N2" s="3">
        <v>1004</v>
      </c>
      <c r="O2" s="3" t="str">
        <f>VLOOKUP(N2,A2:B21,2,FALSE)</f>
        <v>Student 4</v>
      </c>
      <c r="P2" s="3" t="str">
        <f>LEFT(B2,FIND(" ",B2)-1)</f>
        <v>Student</v>
      </c>
      <c r="Q2" s="3" t="str">
        <f t="shared" ref="Q2" si="2">UPPER(B2)</f>
        <v>STUDENT 1</v>
      </c>
      <c r="R2" s="3" t="str">
        <f>LOWER(B2)</f>
        <v>student 1</v>
      </c>
      <c r="S2" s="5" t="str">
        <f t="shared" ref="S2" ca="1" si="3">INDIRECT("B3")</f>
        <v>Student 2</v>
      </c>
      <c r="T2" s="3" t="s">
        <v>113</v>
      </c>
      <c r="U2" s="3">
        <f>ROUND(I2,2)</f>
        <v>61.67</v>
      </c>
      <c r="V2" s="3">
        <f>CEILING(I2,1)</f>
        <v>62</v>
      </c>
      <c r="W2" s="3">
        <f>FLOOR(I2,1)</f>
        <v>61</v>
      </c>
      <c r="X2" s="3" t="s">
        <v>119</v>
      </c>
    </row>
    <row r="3" spans="1:24" ht="19.2" customHeight="1" x14ac:dyDescent="0.3">
      <c r="A3" s="3">
        <v>1002</v>
      </c>
      <c r="B3" s="3" t="s">
        <v>1</v>
      </c>
      <c r="C3" s="3">
        <v>78</v>
      </c>
      <c r="D3" s="3">
        <v>76</v>
      </c>
      <c r="E3" s="3">
        <v>70</v>
      </c>
      <c r="F3" s="4">
        <v>43281</v>
      </c>
      <c r="G3" s="3">
        <f t="shared" ref="G3:G21" si="4">C3+D3+E3</f>
        <v>224</v>
      </c>
      <c r="H3" s="6"/>
      <c r="I3" s="3">
        <f t="shared" ref="I3:I21" si="5">G3/$H$2*100</f>
        <v>74.666666666666671</v>
      </c>
      <c r="J3" s="3" t="str">
        <f t="shared" ref="J3:J21" si="6">IF(G3&gt;=250,"A",IF(G3&gt;=200,"B",IF(G3&gt;=150,"C","F")))</f>
        <v>B</v>
      </c>
      <c r="K3" s="3" t="str">
        <f t="shared" ref="K3:K21" si="7">IF(AND(C3&gt;80,D3&gt;80),"Yes","No")</f>
        <v>No</v>
      </c>
      <c r="L3" s="6"/>
      <c r="M3" s="6"/>
      <c r="N3" s="6"/>
      <c r="O3" s="6"/>
      <c r="P3" s="6"/>
      <c r="Q3" s="6"/>
      <c r="R3" s="6"/>
      <c r="S3" s="6"/>
      <c r="T3" s="3" t="s">
        <v>114</v>
      </c>
      <c r="U3" s="6"/>
      <c r="V3" s="6"/>
      <c r="W3" s="6"/>
      <c r="X3" s="3" t="s">
        <v>114</v>
      </c>
    </row>
    <row r="4" spans="1:24" ht="19.2" customHeight="1" x14ac:dyDescent="0.3">
      <c r="A4" s="3">
        <v>1003</v>
      </c>
      <c r="B4" s="3" t="s">
        <v>2</v>
      </c>
      <c r="C4" s="3">
        <v>97</v>
      </c>
      <c r="D4" s="3">
        <v>60</v>
      </c>
      <c r="E4" s="3">
        <v>51</v>
      </c>
      <c r="F4" s="4">
        <v>43461</v>
      </c>
      <c r="G4" s="3">
        <f t="shared" si="4"/>
        <v>208</v>
      </c>
      <c r="H4" s="6"/>
      <c r="I4" s="3">
        <f t="shared" si="5"/>
        <v>69.333333333333343</v>
      </c>
      <c r="J4" s="3" t="str">
        <f t="shared" si="6"/>
        <v>B</v>
      </c>
      <c r="K4" s="3" t="str">
        <f t="shared" si="7"/>
        <v>No</v>
      </c>
      <c r="L4" s="6"/>
      <c r="M4" s="6"/>
      <c r="N4" s="6"/>
      <c r="O4" s="6"/>
      <c r="P4" s="6"/>
      <c r="Q4" s="6"/>
      <c r="R4" s="6"/>
      <c r="S4" s="6"/>
      <c r="T4" s="3" t="s">
        <v>107</v>
      </c>
      <c r="U4" s="6"/>
      <c r="V4" s="6"/>
      <c r="W4" s="6"/>
      <c r="X4" s="3" t="s">
        <v>107</v>
      </c>
    </row>
    <row r="5" spans="1:24" ht="19.2" customHeight="1" x14ac:dyDescent="0.3">
      <c r="A5" s="3">
        <v>1004</v>
      </c>
      <c r="B5" s="3" t="s">
        <v>3</v>
      </c>
      <c r="C5" s="3">
        <v>74</v>
      </c>
      <c r="D5" s="3">
        <v>55</v>
      </c>
      <c r="E5" s="3">
        <v>46</v>
      </c>
      <c r="F5" s="4">
        <v>43641</v>
      </c>
      <c r="G5" s="3">
        <f t="shared" si="4"/>
        <v>175</v>
      </c>
      <c r="H5" s="6"/>
      <c r="I5" s="3">
        <f t="shared" si="5"/>
        <v>58.333333333333336</v>
      </c>
      <c r="J5" s="3" t="str">
        <f t="shared" si="6"/>
        <v>C</v>
      </c>
      <c r="K5" s="3" t="str">
        <f t="shared" si="7"/>
        <v>No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9.2" customHeight="1" x14ac:dyDescent="0.3">
      <c r="A6" s="3">
        <v>1005</v>
      </c>
      <c r="B6" s="3" t="s">
        <v>4</v>
      </c>
      <c r="C6" s="3">
        <v>68</v>
      </c>
      <c r="D6" s="3">
        <v>74</v>
      </c>
      <c r="E6" s="3">
        <v>84</v>
      </c>
      <c r="F6" s="4">
        <v>43821</v>
      </c>
      <c r="G6" s="3">
        <f t="shared" si="4"/>
        <v>226</v>
      </c>
      <c r="H6" s="6"/>
      <c r="I6" s="3">
        <f t="shared" si="5"/>
        <v>75.333333333333329</v>
      </c>
      <c r="J6" s="3" t="str">
        <f t="shared" si="6"/>
        <v>B</v>
      </c>
      <c r="K6" s="3" t="str">
        <f t="shared" si="7"/>
        <v>No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9.2" customHeight="1" x14ac:dyDescent="0.3">
      <c r="A7" s="3">
        <v>1006</v>
      </c>
      <c r="B7" s="3" t="s">
        <v>5</v>
      </c>
      <c r="C7" s="3">
        <v>80</v>
      </c>
      <c r="D7" s="3">
        <v>70</v>
      </c>
      <c r="E7" s="3">
        <v>65</v>
      </c>
      <c r="F7" s="4">
        <v>44001</v>
      </c>
      <c r="G7" s="3">
        <f t="shared" si="4"/>
        <v>215</v>
      </c>
      <c r="H7" s="6"/>
      <c r="I7" s="3">
        <f t="shared" si="5"/>
        <v>71.666666666666671</v>
      </c>
      <c r="J7" s="3" t="str">
        <f t="shared" si="6"/>
        <v>B</v>
      </c>
      <c r="K7" s="3" t="str">
        <f t="shared" si="7"/>
        <v>No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9.2" customHeight="1" x14ac:dyDescent="0.3">
      <c r="A8" s="3">
        <v>1007</v>
      </c>
      <c r="B8" s="3" t="s">
        <v>6</v>
      </c>
      <c r="C8" s="3">
        <v>75</v>
      </c>
      <c r="D8" s="3">
        <v>47</v>
      </c>
      <c r="E8" s="3">
        <v>78</v>
      </c>
      <c r="F8" s="4">
        <v>44181</v>
      </c>
      <c r="G8" s="3">
        <f t="shared" si="4"/>
        <v>200</v>
      </c>
      <c r="H8" s="6"/>
      <c r="I8" s="3">
        <f t="shared" si="5"/>
        <v>66.666666666666657</v>
      </c>
      <c r="J8" s="3" t="str">
        <f t="shared" si="6"/>
        <v>B</v>
      </c>
      <c r="K8" s="3" t="str">
        <f t="shared" si="7"/>
        <v>No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9.2" customHeight="1" x14ac:dyDescent="0.3">
      <c r="A9" s="3">
        <v>1008</v>
      </c>
      <c r="B9" s="3" t="s">
        <v>7</v>
      </c>
      <c r="C9" s="3">
        <v>94</v>
      </c>
      <c r="D9" s="3">
        <v>67</v>
      </c>
      <c r="E9" s="3">
        <v>64</v>
      </c>
      <c r="F9" s="4">
        <v>44361</v>
      </c>
      <c r="G9" s="3">
        <f t="shared" si="4"/>
        <v>225</v>
      </c>
      <c r="H9" s="6"/>
      <c r="I9" s="3">
        <f t="shared" si="5"/>
        <v>75</v>
      </c>
      <c r="J9" s="3" t="str">
        <f t="shared" si="6"/>
        <v>B</v>
      </c>
      <c r="K9" s="3" t="str">
        <f t="shared" si="7"/>
        <v>No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9.2" customHeight="1" x14ac:dyDescent="0.3">
      <c r="A10" s="3">
        <v>1009</v>
      </c>
      <c r="B10" s="3" t="s">
        <v>8</v>
      </c>
      <c r="C10" s="3">
        <v>41</v>
      </c>
      <c r="D10" s="3">
        <v>75</v>
      </c>
      <c r="E10" s="3">
        <v>56</v>
      </c>
      <c r="F10" s="4">
        <v>44541</v>
      </c>
      <c r="G10" s="3">
        <f t="shared" si="4"/>
        <v>172</v>
      </c>
      <c r="H10" s="6"/>
      <c r="I10" s="3">
        <f t="shared" si="5"/>
        <v>57.333333333333336</v>
      </c>
      <c r="J10" s="3" t="str">
        <f t="shared" si="6"/>
        <v>C</v>
      </c>
      <c r="K10" s="3" t="str">
        <f t="shared" si="7"/>
        <v>No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9.2" customHeight="1" x14ac:dyDescent="0.3">
      <c r="A11" s="3">
        <v>1010</v>
      </c>
      <c r="B11" s="3" t="s">
        <v>9</v>
      </c>
      <c r="C11" s="3">
        <v>98</v>
      </c>
      <c r="D11" s="3">
        <v>54</v>
      </c>
      <c r="E11" s="3">
        <v>58</v>
      </c>
      <c r="F11" s="4">
        <v>44721</v>
      </c>
      <c r="G11" s="3">
        <f t="shared" si="4"/>
        <v>210</v>
      </c>
      <c r="H11" s="6"/>
      <c r="I11" s="3">
        <f t="shared" si="5"/>
        <v>70</v>
      </c>
      <c r="J11" s="3" t="str">
        <f t="shared" si="6"/>
        <v>B</v>
      </c>
      <c r="K11" s="3" t="str">
        <f t="shared" si="7"/>
        <v>No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9.2" customHeight="1" x14ac:dyDescent="0.3">
      <c r="A12" s="3">
        <v>1011</v>
      </c>
      <c r="B12" s="3" t="s">
        <v>10</v>
      </c>
      <c r="C12" s="3">
        <v>73</v>
      </c>
      <c r="D12" s="3">
        <v>79</v>
      </c>
      <c r="E12" s="3">
        <v>53</v>
      </c>
      <c r="F12" s="4">
        <v>44901</v>
      </c>
      <c r="G12" s="3">
        <f>C12+D12+E12</f>
        <v>205</v>
      </c>
      <c r="H12" s="6"/>
      <c r="I12" s="3">
        <f t="shared" si="5"/>
        <v>68.333333333333329</v>
      </c>
      <c r="J12" s="3" t="str">
        <f t="shared" si="6"/>
        <v>B</v>
      </c>
      <c r="K12" s="3" t="str">
        <f t="shared" si="7"/>
        <v>No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9.2" customHeight="1" x14ac:dyDescent="0.3">
      <c r="A13" s="3">
        <v>1012</v>
      </c>
      <c r="B13" s="3" t="s">
        <v>11</v>
      </c>
      <c r="C13" s="3">
        <v>85</v>
      </c>
      <c r="D13" s="3">
        <v>89</v>
      </c>
      <c r="E13" s="3">
        <v>79</v>
      </c>
      <c r="F13" s="4">
        <v>45081</v>
      </c>
      <c r="G13" s="3">
        <f t="shared" si="4"/>
        <v>253</v>
      </c>
      <c r="H13" s="6"/>
      <c r="I13" s="3">
        <f t="shared" si="5"/>
        <v>84.333333333333343</v>
      </c>
      <c r="J13" s="3" t="str">
        <f t="shared" si="6"/>
        <v>A</v>
      </c>
      <c r="K13" s="3" t="str">
        <f t="shared" si="7"/>
        <v>Yes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9.2" customHeight="1" x14ac:dyDescent="0.3">
      <c r="A14" s="3">
        <v>1013</v>
      </c>
      <c r="B14" s="3" t="s">
        <v>12</v>
      </c>
      <c r="C14" s="3">
        <v>98</v>
      </c>
      <c r="D14" s="3">
        <v>90</v>
      </c>
      <c r="E14" s="3">
        <v>97</v>
      </c>
      <c r="F14" s="4">
        <v>45261</v>
      </c>
      <c r="G14" s="3">
        <f t="shared" si="4"/>
        <v>285</v>
      </c>
      <c r="H14" s="6"/>
      <c r="I14" s="3">
        <f t="shared" si="5"/>
        <v>95</v>
      </c>
      <c r="J14" s="3" t="str">
        <f t="shared" si="6"/>
        <v>A</v>
      </c>
      <c r="K14" s="3" t="str">
        <f t="shared" si="7"/>
        <v>Yes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9.2" customHeight="1" x14ac:dyDescent="0.3">
      <c r="A15" s="3">
        <v>1014</v>
      </c>
      <c r="B15" s="3" t="s">
        <v>13</v>
      </c>
      <c r="C15" s="3">
        <v>93</v>
      </c>
      <c r="D15" s="3">
        <v>40</v>
      </c>
      <c r="E15" s="3">
        <v>44</v>
      </c>
      <c r="F15" s="4">
        <v>45441</v>
      </c>
      <c r="G15" s="3">
        <f t="shared" si="4"/>
        <v>177</v>
      </c>
      <c r="H15" s="6"/>
      <c r="I15" s="3">
        <f t="shared" si="5"/>
        <v>59</v>
      </c>
      <c r="J15" s="3" t="str">
        <f t="shared" si="6"/>
        <v>C</v>
      </c>
      <c r="K15" s="3" t="str">
        <f t="shared" si="7"/>
        <v>No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9.2" customHeight="1" x14ac:dyDescent="0.3">
      <c r="A16" s="3">
        <v>1015</v>
      </c>
      <c r="B16" s="3" t="s">
        <v>14</v>
      </c>
      <c r="C16" s="3">
        <v>70</v>
      </c>
      <c r="D16" s="3">
        <v>51</v>
      </c>
      <c r="E16" s="3">
        <v>75</v>
      </c>
      <c r="F16" s="4">
        <v>45621</v>
      </c>
      <c r="G16" s="3">
        <f t="shared" si="4"/>
        <v>196</v>
      </c>
      <c r="H16" s="6"/>
      <c r="I16" s="3">
        <f t="shared" si="5"/>
        <v>65.333333333333329</v>
      </c>
      <c r="J16" s="3" t="str">
        <f t="shared" si="6"/>
        <v>C</v>
      </c>
      <c r="K16" s="3" t="str">
        <f t="shared" si="7"/>
        <v>No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9.2" customHeight="1" x14ac:dyDescent="0.3">
      <c r="A17" s="3">
        <v>1016</v>
      </c>
      <c r="B17" s="3" t="s">
        <v>15</v>
      </c>
      <c r="C17" s="3">
        <v>98</v>
      </c>
      <c r="D17" s="3">
        <v>77</v>
      </c>
      <c r="E17" s="3">
        <v>60</v>
      </c>
      <c r="F17" s="4">
        <v>45801</v>
      </c>
      <c r="G17" s="3">
        <f t="shared" si="4"/>
        <v>235</v>
      </c>
      <c r="H17" s="6"/>
      <c r="I17" s="3">
        <f t="shared" si="5"/>
        <v>78.333333333333329</v>
      </c>
      <c r="J17" s="3" t="str">
        <f t="shared" si="6"/>
        <v>B</v>
      </c>
      <c r="K17" s="3" t="str">
        <f t="shared" si="7"/>
        <v>No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9.2" customHeight="1" x14ac:dyDescent="0.3">
      <c r="A18" s="3">
        <v>1017</v>
      </c>
      <c r="B18" s="3" t="s">
        <v>16</v>
      </c>
      <c r="C18" s="3">
        <v>66</v>
      </c>
      <c r="D18" s="3">
        <v>59</v>
      </c>
      <c r="E18" s="3">
        <v>40</v>
      </c>
      <c r="F18" s="4">
        <v>45981</v>
      </c>
      <c r="G18" s="3">
        <f t="shared" si="4"/>
        <v>165</v>
      </c>
      <c r="H18" s="6"/>
      <c r="I18" s="3">
        <f t="shared" si="5"/>
        <v>55.000000000000007</v>
      </c>
      <c r="J18" s="3" t="str">
        <f t="shared" si="6"/>
        <v>C</v>
      </c>
      <c r="K18" s="3" t="str">
        <f t="shared" si="7"/>
        <v>No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9.2" customHeight="1" x14ac:dyDescent="0.3">
      <c r="A19" s="3">
        <v>1018</v>
      </c>
      <c r="B19" s="3" t="s">
        <v>17</v>
      </c>
      <c r="C19" s="3">
        <v>82</v>
      </c>
      <c r="D19" s="3">
        <v>48</v>
      </c>
      <c r="E19" s="3">
        <v>79</v>
      </c>
      <c r="F19" s="4">
        <v>46161</v>
      </c>
      <c r="G19" s="3">
        <f t="shared" si="4"/>
        <v>209</v>
      </c>
      <c r="H19" s="6"/>
      <c r="I19" s="3">
        <f t="shared" si="5"/>
        <v>69.666666666666671</v>
      </c>
      <c r="J19" s="3" t="str">
        <f t="shared" si="6"/>
        <v>B</v>
      </c>
      <c r="K19" s="3" t="str">
        <f t="shared" si="7"/>
        <v>No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9.2" customHeight="1" x14ac:dyDescent="0.3">
      <c r="A20" s="3">
        <v>1019</v>
      </c>
      <c r="B20" s="3" t="s">
        <v>18</v>
      </c>
      <c r="C20" s="3">
        <v>90</v>
      </c>
      <c r="D20" s="3">
        <v>78</v>
      </c>
      <c r="E20" s="3">
        <v>60</v>
      </c>
      <c r="F20" s="4">
        <v>46341</v>
      </c>
      <c r="G20" s="3">
        <f t="shared" si="4"/>
        <v>228</v>
      </c>
      <c r="H20" s="6"/>
      <c r="I20" s="3">
        <f t="shared" si="5"/>
        <v>76</v>
      </c>
      <c r="J20" s="3" t="str">
        <f t="shared" si="6"/>
        <v>B</v>
      </c>
      <c r="K20" s="3" t="str">
        <f t="shared" si="7"/>
        <v>No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9.2" customHeight="1" x14ac:dyDescent="0.3">
      <c r="A21" s="3">
        <v>1020</v>
      </c>
      <c r="B21" s="3" t="s">
        <v>19</v>
      </c>
      <c r="C21" s="3">
        <v>83</v>
      </c>
      <c r="D21" s="3">
        <v>92</v>
      </c>
      <c r="E21" s="3">
        <v>55</v>
      </c>
      <c r="F21" s="4">
        <v>46521</v>
      </c>
      <c r="G21" s="3">
        <f t="shared" si="4"/>
        <v>230</v>
      </c>
      <c r="H21" s="6"/>
      <c r="I21" s="3">
        <f t="shared" si="5"/>
        <v>76.666666666666671</v>
      </c>
      <c r="J21" s="3" t="str">
        <f t="shared" si="6"/>
        <v>B</v>
      </c>
      <c r="K21" s="3" t="str">
        <f t="shared" si="7"/>
        <v>Yes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9.2" customHeight="1" x14ac:dyDescent="0.3"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9.2" customHeight="1" x14ac:dyDescent="0.3"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9.2" customHeight="1" x14ac:dyDescent="0.3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9.2" customHeight="1" x14ac:dyDescent="0.3"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9.2" customHeight="1" x14ac:dyDescent="0.3"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9.2" customHeight="1" x14ac:dyDescent="0.3"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9.2" customHeight="1" x14ac:dyDescent="0.3"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9.2" customHeight="1" x14ac:dyDescent="0.3"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9.2" customHeight="1" x14ac:dyDescent="0.3"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9.2" customHeight="1" x14ac:dyDescent="0.3"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9.2" customHeight="1" x14ac:dyDescent="0.3"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5:24" ht="19.2" customHeight="1" x14ac:dyDescent="0.3"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5:24" ht="19.2" customHeight="1" x14ac:dyDescent="0.3"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5:24" ht="19.2" customHeight="1" x14ac:dyDescent="0.3"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5:24" ht="19.2" customHeight="1" x14ac:dyDescent="0.3"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5:24" ht="19.2" customHeight="1" x14ac:dyDescent="0.3"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5:24" ht="19.2" customHeight="1" x14ac:dyDescent="0.3"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5:24" ht="19.2" customHeight="1" x14ac:dyDescent="0.3"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5:24" ht="19.2" customHeight="1" x14ac:dyDescent="0.3"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5:24" ht="19.2" customHeight="1" x14ac:dyDescent="0.3"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5:24" ht="19.2" customHeight="1" x14ac:dyDescent="0.3"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5:24" ht="19.2" customHeight="1" x14ac:dyDescent="0.3"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5:24" ht="19.2" customHeight="1" x14ac:dyDescent="0.3"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5:24" ht="19.2" customHeight="1" x14ac:dyDescent="0.3"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5:24" ht="19.2" customHeight="1" x14ac:dyDescent="0.3"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5:24" ht="19.2" customHeight="1" x14ac:dyDescent="0.3"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B7AE-BAC0-42F2-A9CA-C64748B3870D}">
  <dimension ref="A1:V21"/>
  <sheetViews>
    <sheetView tabSelected="1" topLeftCell="D1" zoomScale="105" zoomScaleNormal="100" workbookViewId="0">
      <selection activeCell="R5" sqref="R5"/>
    </sheetView>
  </sheetViews>
  <sheetFormatPr defaultColWidth="15.33203125" defaultRowHeight="24.6" customHeight="1" x14ac:dyDescent="0.3"/>
  <cols>
    <col min="9" max="9" width="17.6640625" customWidth="1"/>
    <col min="14" max="14" width="16.21875" customWidth="1"/>
    <col min="15" max="15" width="15.88671875" customWidth="1"/>
    <col min="22" max="22" width="16.5546875" customWidth="1"/>
  </cols>
  <sheetData>
    <row r="1" spans="1:22" ht="24.6" customHeight="1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7" t="s">
        <v>30</v>
      </c>
      <c r="G1" s="1" t="s">
        <v>92</v>
      </c>
      <c r="H1" s="1" t="s">
        <v>120</v>
      </c>
      <c r="I1" s="1" t="s">
        <v>94</v>
      </c>
      <c r="J1" s="1" t="s">
        <v>96</v>
      </c>
      <c r="K1" s="1" t="s">
        <v>99</v>
      </c>
      <c r="L1" s="1" t="s">
        <v>100</v>
      </c>
      <c r="M1" s="1" t="s">
        <v>129</v>
      </c>
      <c r="N1" s="1" t="s">
        <v>101</v>
      </c>
      <c r="O1" s="1" t="s">
        <v>102</v>
      </c>
      <c r="P1" s="1" t="s">
        <v>103</v>
      </c>
      <c r="Q1" s="8" t="s">
        <v>104</v>
      </c>
      <c r="R1" s="1" t="s">
        <v>105</v>
      </c>
      <c r="S1" s="1" t="s">
        <v>108</v>
      </c>
      <c r="T1" s="1" t="s">
        <v>110</v>
      </c>
      <c r="U1" s="8" t="s">
        <v>111</v>
      </c>
      <c r="V1" s="1" t="s">
        <v>112</v>
      </c>
    </row>
    <row r="2" spans="1:22" ht="24.6" customHeight="1" x14ac:dyDescent="0.3">
      <c r="A2" s="3">
        <v>2001</v>
      </c>
      <c r="B2" s="3" t="s">
        <v>31</v>
      </c>
      <c r="C2" s="3" t="s">
        <v>32</v>
      </c>
      <c r="D2" s="3" t="s">
        <v>33</v>
      </c>
      <c r="E2" s="3">
        <v>7048</v>
      </c>
      <c r="F2" s="4">
        <v>44927</v>
      </c>
      <c r="G2" s="3">
        <f>IF(E2&gt;=40000,20%,IF(E2&gt;=20000,10%,5%))</f>
        <v>0.05</v>
      </c>
      <c r="H2" s="3">
        <f>E2*G2</f>
        <v>352.40000000000003</v>
      </c>
      <c r="I2" s="3" t="str">
        <f>IF(OR(E2&gt;=30000,C2="North"),"Eligible","Not Eligible")</f>
        <v>Not Eligible</v>
      </c>
      <c r="J2" s="3">
        <f>SUMIFS(E2:E21, C2:C21,"East", B2:B21,"Keyboard")</f>
        <v>80349</v>
      </c>
      <c r="K2" s="3" t="s">
        <v>46</v>
      </c>
      <c r="L2" s="3">
        <f>VLOOKUP(K2,D1:E21,2,FALSE)</f>
        <v>19746</v>
      </c>
      <c r="M2" s="4">
        <v>45047</v>
      </c>
      <c r="N2" s="13">
        <f t="array" ref="N2">INDEX(E2:E21,MATCH(1,(D2:D21=K2)*(MONTH(F2:F21)=MONTH(M2)),0))</f>
        <v>19746</v>
      </c>
      <c r="O2" s="3" t="str">
        <f t="shared" ref="O2" si="0">LEFT(D2,FIND(" ",D2)-1)</f>
        <v>Person</v>
      </c>
      <c r="P2" s="3" t="str">
        <f>UPPER(B2)</f>
        <v>KEYBOARD</v>
      </c>
      <c r="Q2" s="5" t="str">
        <f>LOWER(B2)</f>
        <v>keyboard</v>
      </c>
      <c r="R2" s="3" t="s">
        <v>106</v>
      </c>
      <c r="S2" s="3" t="s">
        <v>109</v>
      </c>
      <c r="T2" s="3" t="str">
        <f ca="1">INDIRECT("B2")</f>
        <v>Keyboard</v>
      </c>
      <c r="U2" s="5">
        <f t="shared" ref="U2" ca="1" si="1">SUM(OFFSET(E2,COUNT(E:E)-5,0,5,1))</f>
        <v>149698</v>
      </c>
      <c r="V2" s="3" t="s">
        <v>113</v>
      </c>
    </row>
    <row r="3" spans="1:22" ht="24.6" customHeight="1" x14ac:dyDescent="0.3">
      <c r="A3" s="3">
        <v>2002</v>
      </c>
      <c r="B3" s="3" t="s">
        <v>34</v>
      </c>
      <c r="C3" s="3" t="s">
        <v>35</v>
      </c>
      <c r="D3" s="3" t="s">
        <v>36</v>
      </c>
      <c r="E3" s="3">
        <v>17428</v>
      </c>
      <c r="F3" s="4">
        <v>44942</v>
      </c>
      <c r="G3" s="3">
        <f t="shared" ref="G3:G21" si="2">IF(E3&gt;=40000,20%,IF(E3&gt;=20000,10%,5%))</f>
        <v>0.05</v>
      </c>
      <c r="H3" s="3">
        <f t="shared" ref="H3:H21" si="3">E3*G3</f>
        <v>871.40000000000009</v>
      </c>
      <c r="I3" s="3" t="str">
        <f t="shared" ref="I3:I21" si="4">IF(OR(E3&gt;=30000,C3="North"),"Eligible","Not Eligible")</f>
        <v>Not Eligible</v>
      </c>
      <c r="J3" s="6"/>
      <c r="K3" s="6"/>
      <c r="L3" s="6"/>
      <c r="M3" s="6"/>
      <c r="N3" s="6"/>
      <c r="O3" s="6"/>
      <c r="P3" s="6"/>
      <c r="Q3" s="6"/>
      <c r="R3" s="3" t="s">
        <v>107</v>
      </c>
      <c r="S3" s="3" t="s">
        <v>107</v>
      </c>
      <c r="T3" s="6"/>
      <c r="U3" s="6"/>
      <c r="V3" s="3" t="s">
        <v>114</v>
      </c>
    </row>
    <row r="4" spans="1:22" ht="24.6" customHeight="1" x14ac:dyDescent="0.3">
      <c r="A4" s="3">
        <v>2003</v>
      </c>
      <c r="B4" s="3" t="s">
        <v>37</v>
      </c>
      <c r="C4" s="3" t="s">
        <v>32</v>
      </c>
      <c r="D4" s="3" t="s">
        <v>38</v>
      </c>
      <c r="E4" s="3">
        <v>23672</v>
      </c>
      <c r="F4" s="4">
        <v>44957</v>
      </c>
      <c r="G4" s="3">
        <f t="shared" si="2"/>
        <v>0.1</v>
      </c>
      <c r="H4" s="3">
        <f t="shared" si="3"/>
        <v>2367.2000000000003</v>
      </c>
      <c r="I4" s="3" t="str">
        <f t="shared" si="4"/>
        <v>Not Eligible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3" t="s">
        <v>107</v>
      </c>
    </row>
    <row r="5" spans="1:22" ht="24.6" customHeight="1" x14ac:dyDescent="0.3">
      <c r="A5" s="3">
        <v>2004</v>
      </c>
      <c r="B5" s="3" t="s">
        <v>34</v>
      </c>
      <c r="C5" s="3" t="s">
        <v>39</v>
      </c>
      <c r="D5" s="3" t="s">
        <v>40</v>
      </c>
      <c r="E5" s="3">
        <v>5264</v>
      </c>
      <c r="F5" s="4">
        <v>44972</v>
      </c>
      <c r="G5" s="3">
        <f t="shared" si="2"/>
        <v>0.05</v>
      </c>
      <c r="H5" s="3">
        <f t="shared" si="3"/>
        <v>263.2</v>
      </c>
      <c r="I5" s="3" t="str">
        <f t="shared" si="4"/>
        <v>Not Eligible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24.6" customHeight="1" x14ac:dyDescent="0.3">
      <c r="A6" s="3">
        <v>2005</v>
      </c>
      <c r="B6" s="3" t="s">
        <v>31</v>
      </c>
      <c r="C6" s="3" t="s">
        <v>41</v>
      </c>
      <c r="D6" s="3" t="s">
        <v>42</v>
      </c>
      <c r="E6" s="3">
        <v>43388</v>
      </c>
      <c r="F6" s="4">
        <v>44987</v>
      </c>
      <c r="G6" s="3">
        <f t="shared" si="2"/>
        <v>0.2</v>
      </c>
      <c r="H6" s="3">
        <f t="shared" si="3"/>
        <v>8677.6</v>
      </c>
      <c r="I6" s="3" t="str">
        <f t="shared" si="4"/>
        <v>Eligible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24.6" customHeight="1" x14ac:dyDescent="0.3">
      <c r="A7" s="3">
        <v>2006</v>
      </c>
      <c r="B7" s="3" t="s">
        <v>37</v>
      </c>
      <c r="C7" s="3" t="s">
        <v>41</v>
      </c>
      <c r="D7" s="3" t="s">
        <v>43</v>
      </c>
      <c r="E7" s="3">
        <v>19757</v>
      </c>
      <c r="F7" s="4">
        <v>45002</v>
      </c>
      <c r="G7" s="3">
        <f t="shared" si="2"/>
        <v>0.05</v>
      </c>
      <c r="H7" s="3">
        <f t="shared" si="3"/>
        <v>987.85</v>
      </c>
      <c r="I7" s="3" t="str">
        <f t="shared" si="4"/>
        <v>Eligible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24.6" customHeight="1" x14ac:dyDescent="0.3">
      <c r="A8" s="3">
        <v>2007</v>
      </c>
      <c r="B8" s="3" t="s">
        <v>37</v>
      </c>
      <c r="C8" s="3" t="s">
        <v>39</v>
      </c>
      <c r="D8" s="3" t="s">
        <v>44</v>
      </c>
      <c r="E8" s="3">
        <v>32058</v>
      </c>
      <c r="F8" s="4">
        <v>45017</v>
      </c>
      <c r="G8" s="3">
        <f t="shared" si="2"/>
        <v>0.1</v>
      </c>
      <c r="H8" s="3">
        <f t="shared" si="3"/>
        <v>3205.8</v>
      </c>
      <c r="I8" s="3" t="str">
        <f t="shared" si="4"/>
        <v>Eligible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24.6" customHeight="1" x14ac:dyDescent="0.3">
      <c r="A9" s="3">
        <v>2008</v>
      </c>
      <c r="B9" s="3" t="s">
        <v>31</v>
      </c>
      <c r="C9" s="3" t="s">
        <v>39</v>
      </c>
      <c r="D9" s="3" t="s">
        <v>45</v>
      </c>
      <c r="E9" s="3">
        <v>46429</v>
      </c>
      <c r="F9" s="4">
        <v>45032</v>
      </c>
      <c r="G9" s="3">
        <f t="shared" si="2"/>
        <v>0.2</v>
      </c>
      <c r="H9" s="3">
        <f t="shared" si="3"/>
        <v>9285.8000000000011</v>
      </c>
      <c r="I9" s="3" t="str">
        <f t="shared" si="4"/>
        <v>Eligible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24.6" customHeight="1" x14ac:dyDescent="0.3">
      <c r="A10" s="3">
        <v>2009</v>
      </c>
      <c r="B10" s="3" t="s">
        <v>34</v>
      </c>
      <c r="C10" s="3" t="s">
        <v>39</v>
      </c>
      <c r="D10" s="3" t="s">
        <v>46</v>
      </c>
      <c r="E10" s="3">
        <v>19746</v>
      </c>
      <c r="F10" s="4">
        <v>45047</v>
      </c>
      <c r="G10" s="3">
        <f t="shared" si="2"/>
        <v>0.05</v>
      </c>
      <c r="H10" s="3">
        <f t="shared" si="3"/>
        <v>987.30000000000007</v>
      </c>
      <c r="I10" s="3" t="str">
        <f t="shared" si="4"/>
        <v>Not Eligible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24.6" customHeight="1" x14ac:dyDescent="0.3">
      <c r="A11" s="3">
        <v>2010</v>
      </c>
      <c r="B11" s="3" t="s">
        <v>31</v>
      </c>
      <c r="C11" s="3" t="s">
        <v>32</v>
      </c>
      <c r="D11" s="3" t="s">
        <v>47</v>
      </c>
      <c r="E11" s="3">
        <v>35185</v>
      </c>
      <c r="F11" s="4">
        <v>45062</v>
      </c>
      <c r="G11" s="3">
        <f t="shared" si="2"/>
        <v>0.1</v>
      </c>
      <c r="H11" s="3">
        <f t="shared" si="3"/>
        <v>3518.5</v>
      </c>
      <c r="I11" s="3" t="str">
        <f t="shared" si="4"/>
        <v>Eligible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24.6" customHeight="1" x14ac:dyDescent="0.3">
      <c r="A12" s="3">
        <v>2011</v>
      </c>
      <c r="B12" s="3" t="s">
        <v>31</v>
      </c>
      <c r="C12" s="3" t="s">
        <v>39</v>
      </c>
      <c r="D12" s="3" t="s">
        <v>48</v>
      </c>
      <c r="E12" s="3">
        <v>33920</v>
      </c>
      <c r="F12" s="4">
        <v>45077</v>
      </c>
      <c r="G12" s="3">
        <f t="shared" si="2"/>
        <v>0.1</v>
      </c>
      <c r="H12" s="3">
        <f t="shared" si="3"/>
        <v>3392</v>
      </c>
      <c r="I12" s="3" t="str">
        <f t="shared" si="4"/>
        <v>Eligible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24.6" customHeight="1" x14ac:dyDescent="0.3">
      <c r="A13" s="3">
        <v>2012</v>
      </c>
      <c r="B13" s="3" t="s">
        <v>49</v>
      </c>
      <c r="C13" s="3" t="s">
        <v>41</v>
      </c>
      <c r="D13" s="3" t="s">
        <v>50</v>
      </c>
      <c r="E13" s="3">
        <v>35611</v>
      </c>
      <c r="F13" s="4">
        <v>45092</v>
      </c>
      <c r="G13" s="3">
        <f t="shared" si="2"/>
        <v>0.1</v>
      </c>
      <c r="H13" s="3">
        <f t="shared" si="3"/>
        <v>3561.1000000000004</v>
      </c>
      <c r="I13" s="3" t="str">
        <f t="shared" si="4"/>
        <v>Eligible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24.6" customHeight="1" x14ac:dyDescent="0.3">
      <c r="A14" s="3">
        <v>2013</v>
      </c>
      <c r="B14" s="3" t="s">
        <v>51</v>
      </c>
      <c r="C14" s="3" t="s">
        <v>39</v>
      </c>
      <c r="D14" s="3" t="s">
        <v>52</v>
      </c>
      <c r="E14" s="3">
        <v>15560</v>
      </c>
      <c r="F14" s="4">
        <v>45107</v>
      </c>
      <c r="G14" s="3">
        <f t="shared" si="2"/>
        <v>0.05</v>
      </c>
      <c r="H14" s="3">
        <f t="shared" si="3"/>
        <v>778</v>
      </c>
      <c r="I14" s="3" t="str">
        <f t="shared" si="4"/>
        <v>Not Eligible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24.6" customHeight="1" x14ac:dyDescent="0.3">
      <c r="A15" s="3">
        <v>2014</v>
      </c>
      <c r="B15" s="3" t="s">
        <v>51</v>
      </c>
      <c r="C15" s="3" t="s">
        <v>32</v>
      </c>
      <c r="D15" s="3" t="s">
        <v>53</v>
      </c>
      <c r="E15" s="3">
        <v>7283</v>
      </c>
      <c r="F15" s="4">
        <v>45122</v>
      </c>
      <c r="G15" s="3">
        <f t="shared" si="2"/>
        <v>0.05</v>
      </c>
      <c r="H15" s="3">
        <f t="shared" si="3"/>
        <v>364.15000000000003</v>
      </c>
      <c r="I15" s="3" t="str">
        <f t="shared" si="4"/>
        <v>Not Eligible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24.6" customHeight="1" x14ac:dyDescent="0.3">
      <c r="A16" s="3">
        <v>2015</v>
      </c>
      <c r="B16" s="3" t="s">
        <v>51</v>
      </c>
      <c r="C16" s="3" t="s">
        <v>39</v>
      </c>
      <c r="D16" s="3" t="s">
        <v>54</v>
      </c>
      <c r="E16" s="3">
        <v>15678</v>
      </c>
      <c r="F16" s="4">
        <v>45137</v>
      </c>
      <c r="G16" s="3">
        <f t="shared" si="2"/>
        <v>0.05</v>
      </c>
      <c r="H16" s="3">
        <f t="shared" si="3"/>
        <v>783.90000000000009</v>
      </c>
      <c r="I16" s="3" t="str">
        <f t="shared" si="4"/>
        <v>Not Eligible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24.6" customHeight="1" x14ac:dyDescent="0.3">
      <c r="A17" s="3">
        <v>2016</v>
      </c>
      <c r="B17" s="3" t="s">
        <v>37</v>
      </c>
      <c r="C17" s="3" t="s">
        <v>39</v>
      </c>
      <c r="D17" s="3" t="s">
        <v>55</v>
      </c>
      <c r="E17" s="3">
        <v>5277</v>
      </c>
      <c r="F17" s="4">
        <v>45152</v>
      </c>
      <c r="G17" s="3">
        <f t="shared" si="2"/>
        <v>0.05</v>
      </c>
      <c r="H17" s="3">
        <f t="shared" si="3"/>
        <v>263.85000000000002</v>
      </c>
      <c r="I17" s="3" t="str">
        <f t="shared" si="4"/>
        <v>Not Eligible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24.6" customHeight="1" x14ac:dyDescent="0.3">
      <c r="A18" s="3">
        <v>2017</v>
      </c>
      <c r="B18" s="3" t="s">
        <v>49</v>
      </c>
      <c r="C18" s="3" t="s">
        <v>41</v>
      </c>
      <c r="D18" s="3" t="s">
        <v>56</v>
      </c>
      <c r="E18" s="3">
        <v>41871</v>
      </c>
      <c r="F18" s="4">
        <v>45167</v>
      </c>
      <c r="G18" s="3">
        <f t="shared" si="2"/>
        <v>0.2</v>
      </c>
      <c r="H18" s="3">
        <f t="shared" si="3"/>
        <v>8374.2000000000007</v>
      </c>
      <c r="I18" s="3" t="str">
        <f t="shared" si="4"/>
        <v>Eligible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24.6" customHeight="1" x14ac:dyDescent="0.3">
      <c r="A19" s="3">
        <v>2018</v>
      </c>
      <c r="B19" s="3" t="s">
        <v>49</v>
      </c>
      <c r="C19" s="3" t="s">
        <v>35</v>
      </c>
      <c r="D19" s="3" t="s">
        <v>57</v>
      </c>
      <c r="E19" s="3">
        <v>38161</v>
      </c>
      <c r="F19" s="4">
        <v>45182</v>
      </c>
      <c r="G19" s="3">
        <f>IF(E19&gt;=40000,20%,IF(E19&gt;=20000,10%,5%))</f>
        <v>0.1</v>
      </c>
      <c r="H19" s="3">
        <f t="shared" si="3"/>
        <v>3816.1000000000004</v>
      </c>
      <c r="I19" s="3" t="str">
        <f t="shared" si="4"/>
        <v>Eligible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24.6" customHeight="1" x14ac:dyDescent="0.3">
      <c r="A20" s="3">
        <v>2019</v>
      </c>
      <c r="B20" s="3" t="s">
        <v>37</v>
      </c>
      <c r="C20" s="3" t="s">
        <v>35</v>
      </c>
      <c r="D20" s="3" t="s">
        <v>58</v>
      </c>
      <c r="E20" s="3">
        <v>30436</v>
      </c>
      <c r="F20" s="4">
        <v>45197</v>
      </c>
      <c r="G20" s="3">
        <f t="shared" si="2"/>
        <v>0.1</v>
      </c>
      <c r="H20" s="3">
        <f t="shared" si="3"/>
        <v>3043.6000000000004</v>
      </c>
      <c r="I20" s="3" t="str">
        <f t="shared" si="4"/>
        <v>Eligible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24.6" customHeight="1" x14ac:dyDescent="0.3">
      <c r="A21" s="3">
        <v>2020</v>
      </c>
      <c r="B21" s="3" t="s">
        <v>34</v>
      </c>
      <c r="C21" s="3" t="s">
        <v>35</v>
      </c>
      <c r="D21" s="3" t="s">
        <v>59</v>
      </c>
      <c r="E21" s="3">
        <v>33953</v>
      </c>
      <c r="F21" s="4">
        <v>45212</v>
      </c>
      <c r="G21" s="3">
        <f t="shared" si="2"/>
        <v>0.1</v>
      </c>
      <c r="H21" s="3">
        <f t="shared" si="3"/>
        <v>3395.3</v>
      </c>
      <c r="I21" s="3" t="str">
        <f t="shared" si="4"/>
        <v>Eligible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3512-6B9D-48E3-9459-B0C4A9CD9DC7}">
  <dimension ref="A1:Q21"/>
  <sheetViews>
    <sheetView zoomScale="86" zoomScaleNormal="145" workbookViewId="0">
      <selection activeCell="F11" sqref="F11"/>
    </sheetView>
  </sheetViews>
  <sheetFormatPr defaultColWidth="16.5546875" defaultRowHeight="24.6" customHeight="1" x14ac:dyDescent="0.3"/>
  <cols>
    <col min="7" max="7" width="19.33203125" customWidth="1"/>
    <col min="9" max="9" width="16.88671875" customWidth="1"/>
    <col min="14" max="14" width="17.109375" customWidth="1"/>
  </cols>
  <sheetData>
    <row r="1" spans="1:17" ht="24.6" customHeight="1" x14ac:dyDescent="0.3">
      <c r="A1" s="1" t="s">
        <v>60</v>
      </c>
      <c r="B1" s="1" t="s">
        <v>21</v>
      </c>
      <c r="C1" s="1" t="s">
        <v>61</v>
      </c>
      <c r="D1" s="1" t="s">
        <v>62</v>
      </c>
      <c r="E1" s="7" t="s">
        <v>63</v>
      </c>
      <c r="F1" s="1" t="s">
        <v>121</v>
      </c>
      <c r="G1" s="1" t="s">
        <v>124</v>
      </c>
      <c r="H1" s="1" t="s">
        <v>122</v>
      </c>
      <c r="I1" s="1" t="s">
        <v>102</v>
      </c>
      <c r="J1" s="1" t="s">
        <v>103</v>
      </c>
      <c r="K1" s="8" t="s">
        <v>104</v>
      </c>
      <c r="L1" s="1" t="s">
        <v>105</v>
      </c>
      <c r="M1" s="1" t="s">
        <v>110</v>
      </c>
      <c r="N1" s="8" t="s">
        <v>112</v>
      </c>
      <c r="O1" s="1" t="s">
        <v>126</v>
      </c>
      <c r="P1" s="1" t="s">
        <v>127</v>
      </c>
      <c r="Q1" s="1" t="s">
        <v>128</v>
      </c>
    </row>
    <row r="2" spans="1:17" ht="24.6" customHeight="1" x14ac:dyDescent="0.3">
      <c r="A2" s="2">
        <v>3001</v>
      </c>
      <c r="B2" s="2" t="s">
        <v>64</v>
      </c>
      <c r="C2" s="2" t="s">
        <v>65</v>
      </c>
      <c r="D2" s="2">
        <v>86766</v>
      </c>
      <c r="E2" s="10">
        <v>42005</v>
      </c>
      <c r="F2" s="2">
        <v>3001</v>
      </c>
      <c r="G2" s="2" t="s">
        <v>61</v>
      </c>
      <c r="H2" s="2" t="str">
        <f t="shared" ref="H2" si="0">INDEX(A2:E21, MATCH(F2, A2:A21, 0), MATCH(G2,A1:E1,0))</f>
        <v>Finance</v>
      </c>
      <c r="I2" s="2" t="str">
        <f>LEFT(B2,FIND(" ",B2)-1)</f>
        <v>Employee</v>
      </c>
      <c r="J2" s="2" t="str">
        <f>UPPER(C2)</f>
        <v>FINANCE</v>
      </c>
      <c r="K2" s="11" t="str">
        <f>LOWER(C2)</f>
        <v>finance</v>
      </c>
      <c r="L2" s="2" t="s">
        <v>106</v>
      </c>
      <c r="M2" s="2" t="str">
        <f ca="1">INDIRECT("C3")</f>
        <v>Finance</v>
      </c>
      <c r="N2" s="11" t="s">
        <v>113</v>
      </c>
      <c r="O2" s="2">
        <f>DAY(Table3[Joining Date])</f>
        <v>1</v>
      </c>
      <c r="P2" s="2">
        <f>MONTH(Table3[Joining Date])</f>
        <v>1</v>
      </c>
      <c r="Q2" s="2">
        <f>YEAR(Table3[Joining Date])</f>
        <v>2015</v>
      </c>
    </row>
    <row r="3" spans="1:17" ht="24.6" customHeight="1" x14ac:dyDescent="0.3">
      <c r="A3" s="2">
        <v>3002</v>
      </c>
      <c r="B3" s="2" t="s">
        <v>66</v>
      </c>
      <c r="C3" s="2" t="s">
        <v>65</v>
      </c>
      <c r="D3" s="2">
        <v>31943</v>
      </c>
      <c r="E3" s="10">
        <v>42255</v>
      </c>
      <c r="F3" s="12"/>
      <c r="G3" s="12"/>
      <c r="H3" s="12"/>
      <c r="I3" s="12"/>
      <c r="J3" s="12"/>
      <c r="K3" s="12"/>
      <c r="L3" s="2" t="s">
        <v>107</v>
      </c>
      <c r="M3" s="12"/>
      <c r="N3" s="11" t="s">
        <v>114</v>
      </c>
      <c r="O3" s="2">
        <f>DAY(Table3[Joining Date])</f>
        <v>8</v>
      </c>
      <c r="P3" s="2">
        <f>MONTH(Table3[Joining Date])</f>
        <v>9</v>
      </c>
      <c r="Q3" s="2">
        <f>YEAR(Table3[Joining Date])</f>
        <v>2015</v>
      </c>
    </row>
    <row r="4" spans="1:17" ht="24.6" customHeight="1" x14ac:dyDescent="0.3">
      <c r="A4" s="2">
        <v>3003</v>
      </c>
      <c r="B4" s="2" t="s">
        <v>67</v>
      </c>
      <c r="C4" s="2" t="s">
        <v>68</v>
      </c>
      <c r="D4" s="2">
        <v>63374</v>
      </c>
      <c r="E4" s="10">
        <v>42505</v>
      </c>
      <c r="F4" s="12"/>
      <c r="G4" s="12"/>
      <c r="H4" s="12"/>
      <c r="I4" s="12"/>
      <c r="J4" s="12"/>
      <c r="K4" s="12"/>
      <c r="L4" s="12"/>
      <c r="M4" s="12"/>
      <c r="N4" s="11" t="s">
        <v>107</v>
      </c>
      <c r="O4" s="2">
        <f>DAY(Table3[Joining Date])</f>
        <v>15</v>
      </c>
      <c r="P4" s="2">
        <f>MONTH(Table3[Joining Date])</f>
        <v>5</v>
      </c>
      <c r="Q4" s="2">
        <f>YEAR(Table3[Joining Date])</f>
        <v>2016</v>
      </c>
    </row>
    <row r="5" spans="1:17" ht="24.6" customHeight="1" x14ac:dyDescent="0.3">
      <c r="A5" s="2">
        <v>3004</v>
      </c>
      <c r="B5" s="2" t="s">
        <v>69</v>
      </c>
      <c r="C5" s="2" t="s">
        <v>65</v>
      </c>
      <c r="D5" s="2">
        <v>109972</v>
      </c>
      <c r="E5" s="10">
        <v>42755</v>
      </c>
      <c r="F5" s="12"/>
      <c r="G5" s="12"/>
      <c r="H5" s="12"/>
      <c r="I5" s="12"/>
      <c r="J5" s="12"/>
      <c r="K5" s="12"/>
      <c r="L5" s="12"/>
      <c r="M5" s="12"/>
      <c r="N5" s="12"/>
      <c r="O5" s="2">
        <f>DAY(Table3[Joining Date])</f>
        <v>20</v>
      </c>
      <c r="P5" s="2">
        <f>MONTH(Table3[Joining Date])</f>
        <v>1</v>
      </c>
      <c r="Q5" s="2">
        <f>YEAR(Table3[Joining Date])</f>
        <v>2017</v>
      </c>
    </row>
    <row r="6" spans="1:17" ht="24.6" customHeight="1" x14ac:dyDescent="0.3">
      <c r="A6" s="2">
        <v>3005</v>
      </c>
      <c r="B6" s="2" t="s">
        <v>70</v>
      </c>
      <c r="C6" s="2" t="s">
        <v>71</v>
      </c>
      <c r="D6" s="2">
        <v>54149</v>
      </c>
      <c r="E6" s="10">
        <v>43005</v>
      </c>
      <c r="F6" s="12"/>
      <c r="G6" s="12"/>
      <c r="H6" s="12"/>
      <c r="I6" s="12"/>
      <c r="J6" s="12"/>
      <c r="K6" s="12"/>
      <c r="L6" s="12"/>
      <c r="M6" s="12"/>
      <c r="N6" s="12"/>
      <c r="O6" s="2">
        <f>DAY(Table3[Joining Date])</f>
        <v>27</v>
      </c>
      <c r="P6" s="2">
        <f>MONTH(Table3[Joining Date])</f>
        <v>9</v>
      </c>
      <c r="Q6" s="2">
        <f>YEAR(Table3[Joining Date])</f>
        <v>2017</v>
      </c>
    </row>
    <row r="7" spans="1:17" ht="24.6" customHeight="1" x14ac:dyDescent="0.3">
      <c r="A7" s="2">
        <v>3006</v>
      </c>
      <c r="B7" s="2" t="s">
        <v>72</v>
      </c>
      <c r="C7" s="2" t="s">
        <v>71</v>
      </c>
      <c r="D7" s="2">
        <v>78689</v>
      </c>
      <c r="E7" s="10">
        <v>43255</v>
      </c>
      <c r="F7" s="12"/>
      <c r="G7" s="12"/>
      <c r="H7" s="12"/>
      <c r="I7" s="12"/>
      <c r="J7" s="12"/>
      <c r="K7" s="12"/>
      <c r="L7" s="12"/>
      <c r="M7" s="12"/>
      <c r="N7" s="12"/>
      <c r="O7" s="2">
        <f>DAY(Table3[Joining Date])</f>
        <v>4</v>
      </c>
      <c r="P7" s="2">
        <f>MONTH(Table3[Joining Date])</f>
        <v>6</v>
      </c>
      <c r="Q7" s="2">
        <f>YEAR(Table3[Joining Date])</f>
        <v>2018</v>
      </c>
    </row>
    <row r="8" spans="1:17" ht="24.6" customHeight="1" x14ac:dyDescent="0.3">
      <c r="A8" s="2">
        <v>3007</v>
      </c>
      <c r="B8" s="2" t="s">
        <v>73</v>
      </c>
      <c r="C8" s="2" t="s">
        <v>74</v>
      </c>
      <c r="D8" s="2">
        <v>35960</v>
      </c>
      <c r="E8" s="10">
        <v>43505</v>
      </c>
      <c r="F8" s="12"/>
      <c r="G8" s="12"/>
      <c r="H8" s="12"/>
      <c r="I8" s="12"/>
      <c r="J8" s="12"/>
      <c r="K8" s="12"/>
      <c r="L8" s="12"/>
      <c r="M8" s="12"/>
      <c r="N8" s="12"/>
      <c r="O8" s="2">
        <f>DAY(Table3[Joining Date])</f>
        <v>9</v>
      </c>
      <c r="P8" s="2">
        <f>MONTH(Table3[Joining Date])</f>
        <v>2</v>
      </c>
      <c r="Q8" s="2">
        <f>YEAR(Table3[Joining Date])</f>
        <v>2019</v>
      </c>
    </row>
    <row r="9" spans="1:17" ht="24.6" customHeight="1" x14ac:dyDescent="0.3">
      <c r="A9" s="2">
        <v>3008</v>
      </c>
      <c r="B9" s="2" t="s">
        <v>75</v>
      </c>
      <c r="C9" s="2" t="s">
        <v>71</v>
      </c>
      <c r="D9" s="2">
        <v>91659</v>
      </c>
      <c r="E9" s="10">
        <v>43755</v>
      </c>
      <c r="F9" s="12"/>
      <c r="G9" s="12"/>
      <c r="H9" s="12"/>
      <c r="I9" s="12"/>
      <c r="J9" s="12"/>
      <c r="K9" s="12"/>
      <c r="L9" s="12"/>
      <c r="M9" s="12"/>
      <c r="N9" s="12"/>
      <c r="O9" s="2">
        <f>DAY(Table3[Joining Date])</f>
        <v>17</v>
      </c>
      <c r="P9" s="2">
        <f>MONTH(Table3[Joining Date])</f>
        <v>10</v>
      </c>
      <c r="Q9" s="2">
        <f>YEAR(Table3[Joining Date])</f>
        <v>2019</v>
      </c>
    </row>
    <row r="10" spans="1:17" ht="24.6" customHeight="1" x14ac:dyDescent="0.3">
      <c r="A10" s="2">
        <v>3009</v>
      </c>
      <c r="B10" s="2" t="s">
        <v>76</v>
      </c>
      <c r="C10" s="2" t="s">
        <v>71</v>
      </c>
      <c r="D10" s="2">
        <v>90423</v>
      </c>
      <c r="E10" s="10">
        <v>44005</v>
      </c>
      <c r="F10" s="12"/>
      <c r="G10" s="12"/>
      <c r="H10" s="12"/>
      <c r="I10" s="12"/>
      <c r="J10" s="12"/>
      <c r="K10" s="12"/>
      <c r="L10" s="12"/>
      <c r="M10" s="12"/>
      <c r="N10" s="12"/>
      <c r="O10" s="2">
        <f>DAY(Table3[Joining Date])</f>
        <v>23</v>
      </c>
      <c r="P10" s="2">
        <f>MONTH(Table3[Joining Date])</f>
        <v>6</v>
      </c>
      <c r="Q10" s="2">
        <f>YEAR(Table3[Joining Date])</f>
        <v>2020</v>
      </c>
    </row>
    <row r="11" spans="1:17" ht="24.6" customHeight="1" x14ac:dyDescent="0.3">
      <c r="A11" s="2">
        <v>3010</v>
      </c>
      <c r="B11" s="2" t="s">
        <v>77</v>
      </c>
      <c r="C11" s="2" t="s">
        <v>68</v>
      </c>
      <c r="D11" s="2">
        <v>107877</v>
      </c>
      <c r="E11" s="10">
        <v>44255</v>
      </c>
      <c r="F11" s="12"/>
      <c r="G11" s="12"/>
      <c r="H11" s="12"/>
      <c r="I11" s="12"/>
      <c r="J11" s="12"/>
      <c r="K11" s="12"/>
      <c r="L11" s="12"/>
      <c r="M11" s="12"/>
      <c r="N11" s="12"/>
      <c r="O11" s="2">
        <f>DAY(Table3[Joining Date])</f>
        <v>28</v>
      </c>
      <c r="P11" s="2">
        <f>MONTH(Table3[Joining Date])</f>
        <v>2</v>
      </c>
      <c r="Q11" s="2">
        <f>YEAR(Table3[Joining Date])</f>
        <v>2021</v>
      </c>
    </row>
    <row r="12" spans="1:17" ht="24.6" customHeight="1" x14ac:dyDescent="0.3">
      <c r="A12" s="2">
        <v>3011</v>
      </c>
      <c r="B12" s="2" t="s">
        <v>78</v>
      </c>
      <c r="C12" s="2" t="s">
        <v>65</v>
      </c>
      <c r="D12" s="2">
        <v>107634</v>
      </c>
      <c r="E12" s="10">
        <v>44505</v>
      </c>
      <c r="F12" s="12"/>
      <c r="G12" s="12"/>
      <c r="H12" s="12"/>
      <c r="I12" s="12"/>
      <c r="J12" s="12"/>
      <c r="K12" s="12"/>
      <c r="L12" s="12"/>
      <c r="M12" s="12"/>
      <c r="N12" s="12"/>
      <c r="O12" s="2">
        <f>DAY(Table3[Joining Date])</f>
        <v>5</v>
      </c>
      <c r="P12" s="2">
        <f>MONTH(Table3[Joining Date])</f>
        <v>11</v>
      </c>
      <c r="Q12" s="2">
        <f>YEAR(Table3[Joining Date])</f>
        <v>2021</v>
      </c>
    </row>
    <row r="13" spans="1:17" ht="24.6" customHeight="1" x14ac:dyDescent="0.3">
      <c r="A13" s="2">
        <v>3012</v>
      </c>
      <c r="B13" s="2" t="s">
        <v>79</v>
      </c>
      <c r="C13" s="2" t="s">
        <v>65</v>
      </c>
      <c r="D13" s="2">
        <v>35226</v>
      </c>
      <c r="E13" s="10">
        <v>44755</v>
      </c>
      <c r="F13" s="12"/>
      <c r="G13" s="12"/>
      <c r="H13" s="12"/>
      <c r="I13" s="12"/>
      <c r="J13" s="12"/>
      <c r="K13" s="12"/>
      <c r="L13" s="12"/>
      <c r="M13" s="12"/>
      <c r="N13" s="12"/>
      <c r="O13" s="2">
        <f>DAY(Table3[Joining Date])</f>
        <v>13</v>
      </c>
      <c r="P13" s="2">
        <f>MONTH(Table3[Joining Date])</f>
        <v>7</v>
      </c>
      <c r="Q13" s="2">
        <f>YEAR(Table3[Joining Date])</f>
        <v>2022</v>
      </c>
    </row>
    <row r="14" spans="1:17" ht="24.6" customHeight="1" x14ac:dyDescent="0.3">
      <c r="A14" s="2">
        <v>3013</v>
      </c>
      <c r="B14" s="2" t="s">
        <v>80</v>
      </c>
      <c r="C14" s="2" t="s">
        <v>68</v>
      </c>
      <c r="D14" s="2">
        <v>40872</v>
      </c>
      <c r="E14" s="10">
        <v>45005</v>
      </c>
      <c r="F14" s="12"/>
      <c r="G14" s="12"/>
      <c r="H14" s="12"/>
      <c r="I14" s="12"/>
      <c r="J14" s="12"/>
      <c r="K14" s="12"/>
      <c r="L14" s="12"/>
      <c r="M14" s="12"/>
      <c r="N14" s="12"/>
      <c r="O14" s="2">
        <f>DAY(Table3[Joining Date])</f>
        <v>20</v>
      </c>
      <c r="P14" s="2">
        <f>MONTH(Table3[Joining Date])</f>
        <v>3</v>
      </c>
      <c r="Q14" s="2">
        <f>YEAR(Table3[Joining Date])</f>
        <v>2023</v>
      </c>
    </row>
    <row r="15" spans="1:17" ht="24.6" customHeight="1" x14ac:dyDescent="0.3">
      <c r="A15" s="2">
        <v>3014</v>
      </c>
      <c r="B15" s="2" t="s">
        <v>81</v>
      </c>
      <c r="C15" s="2" t="s">
        <v>68</v>
      </c>
      <c r="D15" s="2">
        <v>55378</v>
      </c>
      <c r="E15" s="10">
        <v>45255</v>
      </c>
      <c r="F15" s="12"/>
      <c r="G15" s="12"/>
      <c r="H15" s="12"/>
      <c r="I15" s="12"/>
      <c r="J15" s="12"/>
      <c r="K15" s="12"/>
      <c r="L15" s="12"/>
      <c r="M15" s="12"/>
      <c r="N15" s="12"/>
      <c r="O15" s="2">
        <f>DAY(Table3[Joining Date])</f>
        <v>25</v>
      </c>
      <c r="P15" s="2">
        <f>MONTH(Table3[Joining Date])</f>
        <v>11</v>
      </c>
      <c r="Q15" s="2">
        <f>YEAR(Table3[Joining Date])</f>
        <v>2023</v>
      </c>
    </row>
    <row r="16" spans="1:17" ht="24.6" customHeight="1" x14ac:dyDescent="0.3">
      <c r="A16" s="2">
        <v>3015</v>
      </c>
      <c r="B16" s="2" t="s">
        <v>82</v>
      </c>
      <c r="C16" s="2" t="s">
        <v>68</v>
      </c>
      <c r="D16" s="2">
        <v>63297</v>
      </c>
      <c r="E16" s="10">
        <v>45505</v>
      </c>
      <c r="F16" s="12"/>
      <c r="G16" s="12"/>
      <c r="H16" s="12"/>
      <c r="I16" s="12"/>
      <c r="J16" s="12"/>
      <c r="K16" s="12"/>
      <c r="L16" s="12"/>
      <c r="M16" s="12"/>
      <c r="N16" s="12"/>
      <c r="O16" s="2">
        <f>DAY(Table3[Joining Date])</f>
        <v>1</v>
      </c>
      <c r="P16" s="2">
        <f>MONTH(Table3[Joining Date])</f>
        <v>8</v>
      </c>
      <c r="Q16" s="2">
        <f>YEAR(Table3[Joining Date])</f>
        <v>2024</v>
      </c>
    </row>
    <row r="17" spans="1:17" ht="24.6" customHeight="1" x14ac:dyDescent="0.3">
      <c r="A17" s="2">
        <v>3016</v>
      </c>
      <c r="B17" s="2" t="s">
        <v>83</v>
      </c>
      <c r="C17" s="2" t="s">
        <v>65</v>
      </c>
      <c r="D17" s="2">
        <v>114173</v>
      </c>
      <c r="E17" s="10">
        <v>45755</v>
      </c>
      <c r="F17" s="12"/>
      <c r="G17" s="12"/>
      <c r="H17" s="12"/>
      <c r="I17" s="12"/>
      <c r="J17" s="12"/>
      <c r="K17" s="12"/>
      <c r="L17" s="12"/>
      <c r="M17" s="12"/>
      <c r="N17" s="12"/>
      <c r="O17" s="2">
        <f>DAY(Table3[Joining Date])</f>
        <v>8</v>
      </c>
      <c r="P17" s="2">
        <f>MONTH(Table3[Joining Date])</f>
        <v>4</v>
      </c>
      <c r="Q17" s="2">
        <f>YEAR(Table3[Joining Date])</f>
        <v>2025</v>
      </c>
    </row>
    <row r="18" spans="1:17" ht="24.6" customHeight="1" x14ac:dyDescent="0.3">
      <c r="A18" s="2">
        <v>3017</v>
      </c>
      <c r="B18" s="2" t="s">
        <v>84</v>
      </c>
      <c r="C18" s="2" t="s">
        <v>68</v>
      </c>
      <c r="D18" s="2">
        <v>86915</v>
      </c>
      <c r="E18" s="10">
        <v>46005</v>
      </c>
      <c r="F18" s="12"/>
      <c r="G18" s="12"/>
      <c r="H18" s="12"/>
      <c r="I18" s="12"/>
      <c r="J18" s="12"/>
      <c r="K18" s="12"/>
      <c r="L18" s="12"/>
      <c r="M18" s="12"/>
      <c r="N18" s="12"/>
      <c r="O18" s="2">
        <f>DAY(Table3[Joining Date])</f>
        <v>14</v>
      </c>
      <c r="P18" s="2">
        <f>MONTH(Table3[Joining Date])</f>
        <v>12</v>
      </c>
      <c r="Q18" s="2">
        <f>YEAR(Table3[Joining Date])</f>
        <v>2025</v>
      </c>
    </row>
    <row r="19" spans="1:17" ht="24.6" customHeight="1" x14ac:dyDescent="0.3">
      <c r="A19" s="2">
        <v>3018</v>
      </c>
      <c r="B19" s="2" t="s">
        <v>85</v>
      </c>
      <c r="C19" s="2" t="s">
        <v>71</v>
      </c>
      <c r="D19" s="2">
        <v>116284</v>
      </c>
      <c r="E19" s="10">
        <v>46255</v>
      </c>
      <c r="F19" s="12"/>
      <c r="G19" s="12"/>
      <c r="H19" s="12"/>
      <c r="I19" s="12"/>
      <c r="J19" s="12"/>
      <c r="K19" s="12"/>
      <c r="L19" s="12"/>
      <c r="M19" s="12"/>
      <c r="N19" s="12"/>
      <c r="O19" s="2">
        <f>DAY(Table3[Joining Date])</f>
        <v>21</v>
      </c>
      <c r="P19" s="2">
        <f>MONTH(Table3[Joining Date])</f>
        <v>8</v>
      </c>
      <c r="Q19" s="2">
        <f>YEAR(Table3[Joining Date])</f>
        <v>2026</v>
      </c>
    </row>
    <row r="20" spans="1:17" ht="24.6" customHeight="1" x14ac:dyDescent="0.3">
      <c r="A20" s="2">
        <v>3019</v>
      </c>
      <c r="B20" s="2" t="s">
        <v>86</v>
      </c>
      <c r="C20" s="2" t="s">
        <v>74</v>
      </c>
      <c r="D20" s="2">
        <v>116283</v>
      </c>
      <c r="E20" s="10">
        <v>46505</v>
      </c>
      <c r="F20" s="12"/>
      <c r="G20" s="12"/>
      <c r="H20" s="12"/>
      <c r="I20" s="12"/>
      <c r="J20" s="12"/>
      <c r="K20" s="12"/>
      <c r="L20" s="12"/>
      <c r="M20" s="12"/>
      <c r="N20" s="12"/>
      <c r="O20" s="2">
        <f>DAY(Table3[Joining Date])</f>
        <v>28</v>
      </c>
      <c r="P20" s="2">
        <f>MONTH(Table3[Joining Date])</f>
        <v>4</v>
      </c>
      <c r="Q20" s="2">
        <f>YEAR(Table3[Joining Date])</f>
        <v>2027</v>
      </c>
    </row>
    <row r="21" spans="1:17" ht="24.6" customHeight="1" x14ac:dyDescent="0.3">
      <c r="A21" s="2">
        <v>3020</v>
      </c>
      <c r="B21" s="2" t="s">
        <v>87</v>
      </c>
      <c r="C21" s="2" t="s">
        <v>74</v>
      </c>
      <c r="D21" s="2">
        <v>99924</v>
      </c>
      <c r="E21" s="10">
        <v>46755</v>
      </c>
      <c r="F21" s="12"/>
      <c r="G21" s="12"/>
      <c r="H21" s="12"/>
      <c r="I21" s="12"/>
      <c r="J21" s="12"/>
      <c r="K21" s="12"/>
      <c r="L21" s="12"/>
      <c r="M21" s="12"/>
      <c r="N21" s="12"/>
      <c r="O21" s="2">
        <f>DAY(Table3[Joining Date])</f>
        <v>3</v>
      </c>
      <c r="P21" s="2">
        <f>MONTH(Table3[Joining Date])</f>
        <v>1</v>
      </c>
      <c r="Q21" s="2">
        <f>YEAR(Table3[Joining Date])</f>
        <v>2028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2026-02-06T08:43:41Z</dcterms:created>
  <dcterms:modified xsi:type="dcterms:W3CDTF">2026-02-13T10:24:42Z</dcterms:modified>
</cp:coreProperties>
</file>