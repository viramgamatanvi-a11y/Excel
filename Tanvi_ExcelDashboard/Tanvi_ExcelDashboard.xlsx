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Git_alldata\Excel\Tanvi_ExcelDashboard\"/>
    </mc:Choice>
  </mc:AlternateContent>
  <xr:revisionPtr revIDLastSave="0" documentId="13_ncr:1_{469A344E-EC7F-4589-AB46-3D5872B38017}" xr6:coauthVersionLast="36" xr6:coauthVersionMax="36" xr10:uidLastSave="{00000000-0000-0000-0000-000000000000}"/>
  <bookViews>
    <workbookView xWindow="0" yWindow="0" windowWidth="23040" windowHeight="8940" xr2:uid="{5E3327AD-7332-4BF1-A17F-358847F0E2A9}"/>
  </bookViews>
  <sheets>
    <sheet name="Dataset" sheetId="1" r:id="rId1"/>
    <sheet name="Descriptive Statistics" sheetId="2" r:id="rId2"/>
    <sheet name="Pivot Table and Charts" sheetId="3" r:id="rId3"/>
    <sheet name="Dashboard" sheetId="4" r:id="rId4"/>
  </sheets>
  <definedNames>
    <definedName name="NativeTimeline_Ship_Date">#N/A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3" i="1" l="1"/>
  <c r="Y3" i="1"/>
  <c r="AC2" i="1" l="1"/>
  <c r="AB2" i="1"/>
  <c r="AA2" i="1"/>
  <c r="U2" i="1" l="1"/>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X8" i="1" l="1"/>
  <c r="X3"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<sst xmlns="http://schemas.openxmlformats.org/spreadsheetml/2006/main" count="3409" uniqueCount="606">
  <si>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</si>
  <si>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</si>
  <si>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</si>
  <si>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</si>
  <si>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</si>
  <si>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</si>
  <si>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</si>
  <si>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</si>
  <si>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</si>
  <si>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</si>
  <si>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</si>
  <si>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</si>
  <si>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</si>
  <si>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</si>
  <si>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</si>
  <si>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</si>
  <si>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</si>
  <si>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</si>
  <si>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</si>
  <si>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</si>
  <si>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Nov</t>
  </si>
  <si>
    <t>Second Class</t>
  </si>
  <si>
    <t>Claire Gute</t>
  </si>
  <si>
    <t>Consumer</t>
  </si>
  <si>
    <t>United States</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</si>
  <si>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</si>
  <si>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</si>
  <si>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</si>
  <si>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</si>
  <si>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</si>
  <si>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</si>
  <si>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</si>
  <si>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</si>
  <si>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</si>
  <si>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</si>
  <si>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</si>
  <si>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</si>
  <si>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</si>
  <si>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</si>
  <si>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</si>
  <si>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</si>
  <si>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</si>
  <si>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Oct</t>
  </si>
  <si>
    <t>Standard Class</t>
  </si>
  <si>
    <t>Sean O'Donnell</t>
  </si>
  <si>
    <t>Fort Lauderdale</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</si>
  <si>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</si>
  <si>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</si>
  <si>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</si>
  <si>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</si>
  <si>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</si>
  <si>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</si>
  <si>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</si>
  <si>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</si>
  <si>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</si>
  <si>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</si>
  <si>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</si>
  <si>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</si>
  <si>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</si>
  <si>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</si>
  <si>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</si>
  <si>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</si>
  <si>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</si>
  <si>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</si>
  <si>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</si>
  <si>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</si>
  <si>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</si>
  <si>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</si>
  <si>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</si>
  <si>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</si>
  <si>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</si>
  <si>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</si>
  <si>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</si>
  <si>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</si>
  <si>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</si>
  <si>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</si>
  <si>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</si>
  <si>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</si>
  <si>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</si>
  <si>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</si>
  <si>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</si>
  <si>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</si>
  <si>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</si>
  <si>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</si>
  <si>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</si>
  <si>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</si>
  <si>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</si>
  <si>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</si>
  <si>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</si>
  <si>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</si>
  <si>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</si>
  <si>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</si>
  <si>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</si>
  <si>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</si>
  <si>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</si>
  <si>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</si>
  <si>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</si>
  <si>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</si>
  <si>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</si>
  <si>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</si>
  <si>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</si>
  <si>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</si>
  <si>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</si>
  <si>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</si>
  <si>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</si>
  <si>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</si>
  <si>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</si>
  <si>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</si>
  <si>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</si>
  <si>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</si>
  <si>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</si>
  <si>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</si>
  <si>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</si>
  <si>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</si>
  <si>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</si>
  <si>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</si>
  <si>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</si>
  <si>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</si>
  <si>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</si>
  <si>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</si>
  <si>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</si>
  <si>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</si>
  <si>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</si>
  <si>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</si>
  <si>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</si>
  <si>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</si>
  <si>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</si>
  <si>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</si>
  <si>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</si>
  <si>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</si>
  <si>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</si>
  <si>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</si>
  <si>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</si>
  <si>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</si>
  <si>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</si>
  <si>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</si>
  <si>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</si>
  <si>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</si>
  <si>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</si>
  <si>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</si>
  <si>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</si>
  <si>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</si>
  <si>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</si>
  <si>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</si>
  <si>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</si>
  <si>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</si>
  <si>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</si>
  <si>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</si>
  <si>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</si>
  <si>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</si>
  <si>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</si>
  <si>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</si>
  <si>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</si>
  <si>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</si>
  <si>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</si>
  <si>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</si>
  <si>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</si>
  <si>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</si>
  <si>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</si>
  <si>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</si>
  <si>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</si>
  <si>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</si>
  <si>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</si>
  <si>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</si>
  <si>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</si>
  <si>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</si>
  <si>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</si>
  <si>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</si>
  <si>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</si>
  <si>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</si>
  <si>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</si>
  <si>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</si>
  <si>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</si>
  <si>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</si>
  <si>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</si>
  <si>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</si>
  <si>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</si>
  <si>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</si>
  <si>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</si>
  <si>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</si>
  <si>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</si>
  <si>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</si>
  <si>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</si>
  <si>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</si>
  <si>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</si>
  <si>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</si>
  <si>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</si>
  <si>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</si>
  <si>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</si>
  <si>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</si>
  <si>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</si>
  <si>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</si>
  <si>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</si>
  <si>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</si>
  <si>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</si>
  <si>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</si>
  <si>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</si>
  <si>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</si>
  <si>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</si>
  <si>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</si>
  <si>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</si>
  <si>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</si>
  <si>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</si>
  <si>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</si>
  <si>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</si>
  <si>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</si>
  <si>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</si>
  <si>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</si>
  <si>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</si>
  <si>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</si>
  <si>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</si>
  <si>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</si>
  <si>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</si>
  <si>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</si>
  <si>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</si>
  <si>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</si>
  <si>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</si>
  <si>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</si>
  <si>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</si>
  <si>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</si>
  <si>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</si>
  <si>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</si>
  <si>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</si>
  <si>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</si>
  <si>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</si>
  <si>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</si>
  <si>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</si>
  <si>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</si>
  <si>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</si>
  <si>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</si>
  <si>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</si>
  <si>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</si>
  <si>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</si>
  <si>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</si>
  <si>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</si>
  <si>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</si>
  <si>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</si>
  <si>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</si>
  <si>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</si>
  <si>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</si>
  <si>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</si>
  <si>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</si>
  <si>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</si>
  <si>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</si>
  <si>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</si>
  <si>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</si>
  <si>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</si>
  <si>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</si>
  <si>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</si>
  <si>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</si>
  <si>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</si>
  <si>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</si>
  <si>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</si>
  <si>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</si>
  <si>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</si>
  <si>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</si>
  <si>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</si>
  <si>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</si>
  <si>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</si>
  <si>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</si>
  <si>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</si>
  <si>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</si>
  <si>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</si>
  <si>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</si>
  <si>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</si>
  <si>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</si>
  <si>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</si>
  <si>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</si>
  <si>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</si>
  <si>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</si>
  <si>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</si>
  <si>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</si>
  <si>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</si>
  <si>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</si>
  <si>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</si>
  <si>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</si>
  <si>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</si>
  <si>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</si>
  <si>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</si>
  <si>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</si>
  <si>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</si>
  <si>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</si>
  <si>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</si>
  <si>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</si>
  <si>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</si>
  <si>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</si>
  <si>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</si>
  <si>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</si>
  <si>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</si>
  <si>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</si>
  <si>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</si>
  <si>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</si>
  <si>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</si>
  <si>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</si>
  <si>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</si>
  <si>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</si>
  <si>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</si>
  <si>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</si>
  <si>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</si>
  <si>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</si>
  <si>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</si>
  <si>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</si>
  <si>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</si>
  <si>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</si>
  <si>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</si>
  <si>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</si>
  <si>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</si>
  <si>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</si>
  <si>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</si>
  <si>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</si>
  <si>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</si>
  <si>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</si>
  <si>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</si>
  <si>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</si>
  <si>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</si>
  <si>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</si>
  <si>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</si>
  <si>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</si>
  <si>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</si>
  <si>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</si>
  <si>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</si>
  <si>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</si>
  <si>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</si>
  <si>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</si>
  <si>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</si>
  <si>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</si>
  <si>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</si>
  <si>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</si>
  <si>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</si>
  <si>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</si>
  <si>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</si>
  <si>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</si>
  <si>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</si>
  <si>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</si>
  <si>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</si>
  <si>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</si>
  <si>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</si>
  <si>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</si>
  <si>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</si>
  <si>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</si>
  <si>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</si>
  <si>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</si>
  <si>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</si>
  <si>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</si>
  <si>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</si>
  <si>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</si>
  <si>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</si>
  <si>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</si>
  <si>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</si>
  <si>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</si>
  <si>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</si>
  <si>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</si>
  <si>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</si>
  <si>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</si>
  <si>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</si>
  <si>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</si>
  <si>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</si>
  <si>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</si>
  <si>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</si>
  <si>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</si>
  <si>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</si>
  <si>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</si>
  <si>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</si>
  <si>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</si>
  <si>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</si>
  <si>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</si>
  <si>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</si>
  <si>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</si>
  <si>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</si>
  <si>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</si>
  <si>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</si>
  <si>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</si>
  <si>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</si>
  <si>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</si>
  <si>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</si>
  <si>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</si>
  <si>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</si>
  <si>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</si>
  <si>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</si>
  <si>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</si>
  <si>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</si>
  <si>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</si>
  <si>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</si>
  <si>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</si>
  <si>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</si>
  <si>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</si>
  <si>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</si>
  <si>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</si>
  <si>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</si>
  <si>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</si>
  <si>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</si>
  <si>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</si>
  <si>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</si>
  <si>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</si>
  <si>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</si>
  <si>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</si>
  <si>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</si>
  <si>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</si>
  <si>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</si>
  <si>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</si>
  <si>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</si>
  <si>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</si>
  <si>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</si>
  <si>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</si>
  <si>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</si>
  <si>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</si>
  <si>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</si>
  <si>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</si>
  <si>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</si>
  <si>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</si>
  <si>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</si>
  <si>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</si>
  <si>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</si>
  <si>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</si>
  <si>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</si>
  <si>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</si>
  <si>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</si>
  <si>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</si>
  <si>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</si>
  <si>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</si>
  <si>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</si>
  <si>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</si>
  <si>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</si>
  <si>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</si>
  <si>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</si>
  <si>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</si>
  <si>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</si>
  <si>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</si>
  <si>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</si>
  <si>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</si>
  <si>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</si>
  <si>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</si>
  <si>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</si>
  <si>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</si>
  <si>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</si>
  <si>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</si>
  <si>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</si>
  <si>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</si>
  <si>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</si>
  <si>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</si>
  <si>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</si>
  <si>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</si>
  <si>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</si>
  <si>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</si>
  <si>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</si>
  <si>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</si>
  <si>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</si>
  <si>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</si>
  <si>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</si>
  <si>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</si>
  <si>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</si>
  <si>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</si>
  <si>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</si>
  <si>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</si>
  <si>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</si>
  <si>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</si>
  <si>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</si>
  <si>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</si>
  <si>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</si>
  <si>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</si>
  <si>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</si>
  <si>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</si>
  <si>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</si>
  <si>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</si>
  <si>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</si>
  <si>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</si>
  <si>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</si>
  <si>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</si>
  <si>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</si>
  <si>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</si>
  <si>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</si>
  <si>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</si>
  <si>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</si>
  <si>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</si>
  <si>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</si>
  <si>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</si>
  <si>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</si>
  <si>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</si>
  <si>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</si>
  <si>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</si>
  <si>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</si>
  <si>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</si>
  <si>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</si>
  <si>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</si>
  <si>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</si>
  <si>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</si>
  <si>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</si>
  <si>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</si>
  <si>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</si>
  <si>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</si>
  <si>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</si>
  <si>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</si>
  <si>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</si>
  <si>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</si>
  <si>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</si>
  <si>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</si>
  <si>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</si>
  <si>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</si>
  <si>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</si>
  <si>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</si>
  <si>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</si>
  <si>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</si>
  <si>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</si>
  <si>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</si>
  <si>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</si>
  <si>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</si>
  <si>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</si>
  <si>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</si>
  <si>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</si>
  <si>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</si>
  <si>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</si>
  <si>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</si>
  <si>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</si>
  <si>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</si>
  <si>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</si>
  <si>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</si>
  <si>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</si>
  <si>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</si>
  <si>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</si>
  <si>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</si>
  <si>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</si>
  <si>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</si>
  <si>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</si>
  <si>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</si>
  <si>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</si>
  <si>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</si>
  <si>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</si>
  <si>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</si>
  <si>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</si>
  <si>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</si>
  <si>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</si>
  <si>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</si>
  <si>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</si>
  <si>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</si>
  <si>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</si>
  <si>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</si>
  <si>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</si>
  <si>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</si>
  <si>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</si>
  <si>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</si>
  <si>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</si>
  <si>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</si>
  <si>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</si>
  <si>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</si>
  <si>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</si>
  <si>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</si>
  <si>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</si>
  <si>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</si>
  <si>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</si>
  <si>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</si>
  <si>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</si>
  <si>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</si>
  <si>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</si>
  <si>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</si>
  <si>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</si>
  <si>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</si>
  <si>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</si>
  <si>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</si>
  <si>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</si>
  <si>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</si>
  <si>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</si>
  <si>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</si>
  <si>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</si>
  <si>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</si>
  <si>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</si>
  <si>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</si>
  <si>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</si>
  <si>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</si>
  <si>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</si>
  <si>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Mean</t>
  </si>
  <si>
    <t>Standard Error</t>
  </si>
  <si>
    <t>Median</t>
  </si>
  <si>
    <t>Mode</t>
  </si>
  <si>
    <t>Standard Deviation</t>
  </si>
  <si>
    <t>Sample Variance</t>
  </si>
  <si>
    <t>Kurtosis</t>
  </si>
  <si>
    <t>Skewness</t>
  </si>
  <si>
    <t>Range</t>
  </si>
  <si>
    <t>Minimum</t>
  </si>
  <si>
    <t>Maximum</t>
  </si>
  <si>
    <t>Sum</t>
  </si>
  <si>
    <t>Count</t>
  </si>
  <si>
    <t>VLOOKUP</t>
  </si>
  <si>
    <t xml:space="preserve">Row ID (Data Validation) </t>
  </si>
  <si>
    <t>VLOOKUP (Customer Name)</t>
  </si>
  <si>
    <t>INDEX + MATCH</t>
  </si>
  <si>
    <t>Customer Name (Data Validation)</t>
  </si>
  <si>
    <t>IF</t>
  </si>
  <si>
    <t xml:space="preserve">Nested </t>
  </si>
  <si>
    <t>Row Labels</t>
  </si>
  <si>
    <t>Grand Total</t>
  </si>
  <si>
    <t>Sum of Sales</t>
  </si>
  <si>
    <t>Category Wise Total Sales</t>
  </si>
  <si>
    <t>Sum of Profit</t>
  </si>
  <si>
    <t>Region Wise Total Profit</t>
  </si>
  <si>
    <t>Ship Mode wise Sales + Profit</t>
  </si>
  <si>
    <t>TOTAL SALES</t>
  </si>
  <si>
    <t>TOTAL QUANTITY</t>
  </si>
  <si>
    <t>TOTAL PROFIT</t>
  </si>
  <si>
    <t xml:space="preserve">I don't have any duplicate values in my Database but if I had here is the formula </t>
  </si>
  <si>
    <r>
      <t xml:space="preserve">Select Range </t>
    </r>
    <r>
      <rPr>
        <b/>
        <sz val="11"/>
        <color theme="1"/>
        <rFont val="Calibri"/>
        <family val="2"/>
        <scheme val="minor"/>
      </rPr>
      <t>-</t>
    </r>
    <r>
      <rPr>
        <sz val="11"/>
        <color theme="1"/>
        <rFont val="Calibri"/>
        <family val="2"/>
        <scheme val="minor"/>
      </rPr>
      <t xml:space="preserve"> Data </t>
    </r>
    <r>
      <rPr>
        <b/>
        <sz val="11"/>
        <color theme="1"/>
        <rFont val="Calibri"/>
        <family val="2"/>
        <scheme val="minor"/>
      </rPr>
      <t>-</t>
    </r>
    <r>
      <rPr>
        <sz val="11"/>
        <color theme="1"/>
        <rFont val="Calibri"/>
        <family val="2"/>
        <scheme val="minor"/>
      </rPr>
      <t xml:space="preserve"> Remove Duplicates</t>
    </r>
  </si>
  <si>
    <r>
      <t xml:space="preserve">Select Range </t>
    </r>
    <r>
      <rPr>
        <b/>
        <sz val="11"/>
        <color theme="1"/>
        <rFont val="Calibri"/>
        <family val="2"/>
        <scheme val="minor"/>
      </rPr>
      <t>-</t>
    </r>
    <r>
      <rPr>
        <sz val="11"/>
        <color theme="1"/>
        <rFont val="Calibri"/>
        <family val="2"/>
        <scheme val="minor"/>
      </rPr>
      <t xml:space="preserve"> Home </t>
    </r>
    <r>
      <rPr>
        <b/>
        <sz val="11"/>
        <color theme="1"/>
        <rFont val="Calibri"/>
        <family val="2"/>
        <scheme val="minor"/>
      </rPr>
      <t>-</t>
    </r>
    <r>
      <rPr>
        <sz val="11"/>
        <color theme="1"/>
        <rFont val="Calibri"/>
        <family val="2"/>
        <scheme val="minor"/>
      </rPr>
      <t xml:space="preserve"> Conditional Formatting </t>
    </r>
    <r>
      <rPr>
        <b/>
        <sz val="11"/>
        <color theme="1"/>
        <rFont val="Calibri"/>
        <family val="2"/>
        <scheme val="minor"/>
      </rPr>
      <t>-</t>
    </r>
    <r>
      <rPr>
        <sz val="11"/>
        <color theme="1"/>
        <rFont val="Calibri"/>
        <family val="2"/>
        <scheme val="minor"/>
      </rPr>
      <t xml:space="preserve"> Highlight Cells Rules </t>
    </r>
    <r>
      <rPr>
        <b/>
        <sz val="11"/>
        <color theme="1"/>
        <rFont val="Calibri"/>
        <family val="2"/>
        <scheme val="minor"/>
      </rPr>
      <t>-</t>
    </r>
    <r>
      <rPr>
        <sz val="11"/>
        <color theme="1"/>
        <rFont val="Calibri"/>
        <family val="2"/>
        <scheme val="minor"/>
      </rPr>
      <t xml:space="preserve"> Duplicate Values</t>
    </r>
  </si>
  <si>
    <t xml:space="preserve">I don't have any Blank in my Database but if I had here is the formula </t>
  </si>
  <si>
    <t>=IF(A2=" ", " Not Available ", A2)</t>
  </si>
  <si>
    <t>Step-1</t>
  </si>
  <si>
    <t>Step-2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</si>
</sst>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mm"/>
  </numFmts>
  <fonts count="6" x14ac:knownFonts="1">
    <font>
      <sz val="11"/>
      <color theme="1"/>
      <name val="Calibri"/>
      <family val="2"/>
      <scheme val="minor"/>
    </font>
    <font>
      <i/>
      <sz val="11"/>
      <color theme="1"/>
      <name val="Calibri"/>
      <family val="2"/>
      <scheme val="minor"/>
    </font>
    <font>
      <b/>
      <i/>
      <u/>
      <sz val="11"/>
      <color theme="1"/>
      <name val="Calibri"/>
      <family val="2"/>
      <scheme val="minor"/>
    </font>
    <font>
      <b/>
      <sz val="11"/>
      <color theme="1"/>
      <name val="Calibri"/>
      <family val="2"/>
      <scheme val="minor"/>
    </font>
    <font>
      <b/>
      <i/>
      <u/>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165" fontId="0" fillId="3" borderId="1" xfId="0" applyNumberFormat="1" applyFill="1" applyBorder="1" applyAlignment="1">
      <alignment horizontal="center" vertical="center"/>
    </xf>
    <xf numFmtId="2" fontId="0" fillId="3" borderId="1" xfId="0" applyNumberFormat="1" applyFill="1" applyBorder="1" applyAlignment="1">
      <alignment horizontal="center" vertical="center"/>
    </xf>
    <xf numFmtId="10" fontId="0" fillId="3" borderId="1" xfId="0" applyNumberFormat="1" applyFill="1" applyBorder="1" applyAlignment="1">
      <alignment horizontal="center" vertical="center"/>
    </xf>
    <xf numFmtId="0" fontId="0" fillId="3" borderId="1" xfId="0" applyFill="1" applyBorder="1"/>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165"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0" fillId="3" borderId="1" xfId="0" applyFill="1" applyBorder="1" applyAlignment="1"/>
    <xf numFmtId="0" fontId="0" fillId="0" borderId="0" xfId="0" pivotButton="1"/>
    <xf numFmtId="0" fontId="0" fillId="0" borderId="0" xfId="0" applyAlignment="1">
      <alignment horizontal="left"/>
    </xf>
    <xf numFmtId="0" fontId="0" fillId="0" borderId="0" xfId="0" applyNumberFormat="1"/>
    <xf numFmtId="2" fontId="0" fillId="3" borderId="1" xfId="0" applyNumberFormat="1" applyFill="1" applyBorder="1"/>
    <xf numFmtId="49" fontId="0" fillId="0" borderId="0" xfId="0" applyNumberFormat="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3" fillId="2" borderId="1" xfId="0" applyFont="1" applyFill="1" applyBorder="1" applyAlignment="1">
      <alignment horizontal="center" vertical="center"/>
    </xf>
    <xf numFmtId="14" fontId="0" fillId="3" borderId="1" xfId="0" applyNumberFormat="1" applyFill="1" applyBorder="1"/>
    <xf numFmtId="0" fontId="2" fillId="2" borderId="7" xfId="0" applyFont="1" applyFill="1" applyBorder="1" applyAlignment="1">
      <alignment horizontal="center"/>
    </xf>
    <xf numFmtId="2" fontId="0" fillId="3" borderId="7" xfId="0" applyNumberFormat="1" applyFill="1" applyBorder="1"/>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1" xfId="0" applyBorder="1" applyAlignment="1">
      <alignment horizontal="center" vertical="center" wrapText="1"/>
    </xf>
    <xf numFmtId="0" fontId="2" fillId="2" borderId="8" xfId="0" applyFont="1" applyFill="1" applyBorder="1" applyAlignment="1">
      <alignment horizont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xf>
  </cellXfs>
  <cellStyles count="1">
    <cellStyle name="Normal" xfId="0" builtinId="0"/>
  </cellStyles>
  <dxfs count="1">
    <dxf>
      <fill>
        <patternFill>
          <bgColor theme="7" tint="0.59996337778862885"/>
        </patternFill>
      </fill>
    </dxf>
  </dxfs>
  <tableStyles count="0" defaultTableStyle="TableStyleMedium2" defaultPivotStyle="PivotStyleLight16"/>
  <colors>
    <mruColors>
      <color rgb="FF0E5E43"/>
      <color rgb="FF43712F"/>
      <color rgb="FF287878"/>
      <color rgb="FF1BD9AD"/>
      <color rgb="FF00FF00"/>
      <color rgb="FF158C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[Tanvi_ExcelDashboard.xlsx]Pivot Table and 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 and Charts'!$B$3</c:f>
              <c:strCache>
                <c:ptCount val="1"/>
                <c:pt idx="0">
                  <c:v>Total</c:v>
                </c:pt>
              </c:strCache>
            </c:strRef>
          </c:tx>
          <c:spPr>
            <a:solidFill>
              <a:schemeClr val="accent1"/>
            </a:solidFill>
            <a:ln>
              <a:noFill/>
            </a:ln>
            <a:effectLst/>
          </c:spPr>
          <c:invertIfNegative val="0"/>
          <c:cat>
            <c:strRef>
              <c:f>'Pivot Table and Charts'!$A$4:$A$7</c:f>
              <c:strCache>
                <c:ptCount val="3"/>
                <c:pt idx="0">
                  <c:v>Furniture</c:v>
                </c:pt>
                <c:pt idx="1">
                  <c:v>Office Supplies</c:v>
                </c:pt>
                <c:pt idx="2">
                  <c:v>Technology</c:v>
                </c:pt>
              </c:strCache>
            </c:strRef>
          </c:cat>
          <c:val>
            <c:numRef>
              <c:f>'Pivot Table and Charts'!$B$4:$B$7</c:f>
              <c:numCache>
                <c:formatCode>General</c:formatCode>
                <c:ptCount val="3"/>
                <c:pt idx="0">
                  <c:v>28126.361200000003</c:v>
                </c:pt>
                <c:pt idx="1">
                  <c:v>16027.943999999989</c:v>
                </c:pt>
                <c:pt idx="2">
                  <c:v>32667.023999999994</c:v>
                </c:pt>
              </c:numCache>
            </c:numRef>
          </c:val>
          <c:extLst>
            <c:ext xmlns:c16="http://schemas.microsoft.com/office/drawing/2014/chart" uri="{C3380CC4-5D6E-409C-BE32-E72D297353CC}">
              <c16:uniqueId val="{00000000-9D53-4BA5-A818-D3C757EAFCA3}"/>
            </c:ext>
          </c:extLst>
        </c:ser>
        <c:dLbls>
          <c:showLegendKey val="0"/>
          <c:showVal val="0"/>
          <c:showCatName val="0"/>
          <c:showSerName val="0"/>
          <c:showPercent val="0"/>
          <c:showBubbleSize val="0"/>
        </c:dLbls>
        <c:gapWidth val="219"/>
        <c:overlap val="-27"/>
        <c:axId val="1268425311"/>
        <c:axId val="1379481519"/>
      </c:barChart>
      <c:catAx>
        <c:axId val="126842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81519"/>
        <c:crosses val="autoZero"/>
        <c:auto val="1"/>
        <c:lblAlgn val="ctr"/>
        <c:lblOffset val="100"/>
        <c:noMultiLvlLbl val="0"/>
      </c:catAx>
      <c:valAx>
        <c:axId val="137948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2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[Tanvi_ExcelDashboard.xlsx]Pivot Table and 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 and Charts'!$E$3</c:f>
              <c:strCache>
                <c:ptCount val="1"/>
                <c:pt idx="0">
                  <c:v>Total</c:v>
                </c:pt>
              </c:strCache>
            </c:strRef>
          </c:tx>
          <c:spPr>
            <a:ln w="28575" cap="rnd">
              <a:solidFill>
                <a:schemeClr val="accent1"/>
              </a:solidFill>
              <a:round/>
            </a:ln>
            <a:effectLst/>
          </c:spPr>
          <c:marker>
            <c:symbol val="none"/>
          </c:marker>
          <c:cat>
            <c:strRef>
              <c:f>'Pivot Table and Charts'!$D$4:$D$8</c:f>
              <c:strCache>
                <c:ptCount val="4"/>
                <c:pt idx="0">
                  <c:v>Central</c:v>
                </c:pt>
                <c:pt idx="1">
                  <c:v>East</c:v>
                </c:pt>
                <c:pt idx="2">
                  <c:v>South</c:v>
                </c:pt>
                <c:pt idx="3">
                  <c:v>West</c:v>
                </c:pt>
              </c:strCache>
            </c:strRef>
          </c:cat>
          <c:val>
            <c:numRef>
              <c:f>'Pivot Table and Charts'!$E$4:$E$8</c:f>
              <c:numCache>
                <c:formatCode>General</c:formatCode>
                <c:ptCount val="4"/>
                <c:pt idx="0">
                  <c:v>-775.01269999999897</c:v>
                </c:pt>
                <c:pt idx="1">
                  <c:v>-1951.4917</c:v>
                </c:pt>
                <c:pt idx="2">
                  <c:v>-647.54350000000011</c:v>
                </c:pt>
                <c:pt idx="3">
                  <c:v>2864.1883999999991</c:v>
                </c:pt>
              </c:numCache>
            </c:numRef>
          </c:val>
          <c:smooth val="0"/>
          <c:extLst>
            <c:ext xmlns:c16="http://schemas.microsoft.com/office/drawing/2014/chart" uri="{C3380CC4-5D6E-409C-BE32-E72D297353CC}">
              <c16:uniqueId val="{00000000-9CB9-443E-8DC4-AAB629BB1181}"/>
            </c:ext>
          </c:extLst>
        </c:ser>
        <c:dLbls>
          <c:showLegendKey val="0"/>
          <c:showVal val="0"/>
          <c:showCatName val="0"/>
          <c:showSerName val="0"/>
          <c:showPercent val="0"/>
          <c:showBubbleSize val="0"/>
        </c:dLbls>
        <c:smooth val="0"/>
        <c:axId val="1375235167"/>
        <c:axId val="1379499823"/>
      </c:lineChart>
      <c:catAx>
        <c:axId val="137523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99823"/>
        <c:crosses val="autoZero"/>
        <c:auto val="1"/>
        <c:lblAlgn val="ctr"/>
        <c:lblOffset val="100"/>
        <c:noMultiLvlLbl val="0"/>
      </c:catAx>
      <c:valAx>
        <c:axId val="137949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2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[Tanvi_ExcelDashboard.xlsx]Pivot Table and Charts!PivotTable3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 and Charts'!$H$3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46-4BCA-AD6E-4D28481379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46-4BCA-AD6E-4D28481379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46-4BCA-AD6E-4D28481379EC}"/>
              </c:ext>
            </c:extLst>
          </c:dPt>
          <c:cat>
            <c:strRef>
              <c:f>'Pivot Table and Charts'!$G$4:$G$7</c:f>
              <c:strCache>
                <c:ptCount val="3"/>
                <c:pt idx="0">
                  <c:v>First Class</c:v>
                </c:pt>
                <c:pt idx="1">
                  <c:v>Second Class</c:v>
                </c:pt>
                <c:pt idx="2">
                  <c:v>Standard Class</c:v>
                </c:pt>
              </c:strCache>
            </c:strRef>
          </c:cat>
          <c:val>
            <c:numRef>
              <c:f>'Pivot Table and Charts'!$H$4:$H$7</c:f>
              <c:numCache>
                <c:formatCode>General</c:formatCode>
                <c:ptCount val="3"/>
                <c:pt idx="0">
                  <c:v>7943.7159999999994</c:v>
                </c:pt>
                <c:pt idx="1">
                  <c:v>20087.699000000004</c:v>
                </c:pt>
                <c:pt idx="2">
                  <c:v>48789.914200000028</c:v>
                </c:pt>
              </c:numCache>
            </c:numRef>
          </c:val>
          <c:extLst>
            <c:ext xmlns:c16="http://schemas.microsoft.com/office/drawing/2014/chart" uri="{C3380CC4-5D6E-409C-BE32-E72D297353CC}">
              <c16:uniqueId val="{00000000-9442-46B7-8B1E-792B765C106E}"/>
            </c:ext>
          </c:extLst>
        </c:ser>
        <c:ser>
          <c:idx val="1"/>
          <c:order val="1"/>
          <c:tx>
            <c:strRef>
              <c:f>'Pivot Table and Charts'!$I$3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3746-4BCA-AD6E-4D28481379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3746-4BCA-AD6E-4D28481379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3746-4BCA-AD6E-4D28481379EC}"/>
              </c:ext>
            </c:extLst>
          </c:dPt>
          <c:cat>
            <c:strRef>
              <c:f>'Pivot Table and Charts'!$G$4:$G$7</c:f>
              <c:strCache>
                <c:ptCount val="3"/>
                <c:pt idx="0">
                  <c:v>First Class</c:v>
                </c:pt>
                <c:pt idx="1">
                  <c:v>Second Class</c:v>
                </c:pt>
                <c:pt idx="2">
                  <c:v>Standard Class</c:v>
                </c:pt>
              </c:strCache>
            </c:strRef>
          </c:cat>
          <c:val>
            <c:numRef>
              <c:f>'Pivot Table and Charts'!$I$4:$I$7</c:f>
              <c:numCache>
                <c:formatCode>General</c:formatCode>
                <c:ptCount val="3"/>
                <c:pt idx="0">
                  <c:v>486.70609999999988</c:v>
                </c:pt>
                <c:pt idx="1">
                  <c:v>667.5868999999999</c:v>
                </c:pt>
                <c:pt idx="2">
                  <c:v>-1664.1525000000004</c:v>
                </c:pt>
              </c:numCache>
            </c:numRef>
          </c:val>
          <c:extLst>
            <c:ext xmlns:c16="http://schemas.microsoft.com/office/drawing/2014/chart" uri="{C3380CC4-5D6E-409C-BE32-E72D297353CC}">
              <c16:uniqueId val="{00000001-9442-46B7-8B1E-792B765C10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[Tanvi_ExcelDashboard.xlsx]Pivot Table and Charts!PivotTable1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4"/>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and Charts'!$B$3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AA4-4AFD-B9E6-FF5B1B7029F4}"/>
              </c:ext>
            </c:extLst>
          </c:dPt>
          <c:dPt>
            <c:idx val="1"/>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AA4-4AFD-B9E6-FF5B1B7029F4}"/>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A4-4AFD-B9E6-FF5B1B7029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and Charts'!$A$4:$A$7</c:f>
              <c:strCache>
                <c:ptCount val="3"/>
                <c:pt idx="0">
                  <c:v>Furniture</c:v>
                </c:pt>
                <c:pt idx="1">
                  <c:v>Office Supplies</c:v>
                </c:pt>
                <c:pt idx="2">
                  <c:v>Technology</c:v>
                </c:pt>
              </c:strCache>
            </c:strRef>
          </c:cat>
          <c:val>
            <c:numRef>
              <c:f>'Pivot Table and Charts'!$B$4:$B$7</c:f>
              <c:numCache>
                <c:formatCode>General</c:formatCode>
                <c:ptCount val="3"/>
                <c:pt idx="0">
                  <c:v>28126.361200000003</c:v>
                </c:pt>
                <c:pt idx="1">
                  <c:v>16027.943999999989</c:v>
                </c:pt>
                <c:pt idx="2">
                  <c:v>32667.023999999994</c:v>
                </c:pt>
              </c:numCache>
            </c:numRef>
          </c:val>
          <c:extLst>
            <c:ext xmlns:c16="http://schemas.microsoft.com/office/drawing/2014/chart" uri="{C3380CC4-5D6E-409C-BE32-E72D297353CC}">
              <c16:uniqueId val="{00000000-3AA4-4AFD-B9E6-FF5B1B7029F4}"/>
            </c:ext>
          </c:extLst>
        </c:ser>
        <c:dLbls>
          <c:dLblPos val="outEnd"/>
          <c:showLegendKey val="0"/>
          <c:showVal val="1"/>
          <c:showCatName val="0"/>
          <c:showSerName val="0"/>
          <c:showPercent val="0"/>
          <c:showBubbleSize val="0"/>
        </c:dLbls>
        <c:gapWidth val="100"/>
        <c:overlap val="-24"/>
        <c:axId val="1268425311"/>
        <c:axId val="1379481519"/>
      </c:barChart>
      <c:catAx>
        <c:axId val="1268425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9481519"/>
        <c:crosses val="autoZero"/>
        <c:auto val="1"/>
        <c:lblAlgn val="ctr"/>
        <c:lblOffset val="100"/>
        <c:noMultiLvlLbl val="0"/>
      </c:catAx>
      <c:valAx>
        <c:axId val="1379481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842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[Tanvi_ExcelDashboard.xlsx]Pivot Table and Charts!PivotTable2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and Charts'!$E$3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and Charts'!$D$4:$D$8</c:f>
              <c:strCache>
                <c:ptCount val="4"/>
                <c:pt idx="0">
                  <c:v>Central</c:v>
                </c:pt>
                <c:pt idx="1">
                  <c:v>East</c:v>
                </c:pt>
                <c:pt idx="2">
                  <c:v>South</c:v>
                </c:pt>
                <c:pt idx="3">
                  <c:v>West</c:v>
                </c:pt>
              </c:strCache>
            </c:strRef>
          </c:cat>
          <c:val>
            <c:numRef>
              <c:f>'Pivot Table and Charts'!$E$4:$E$8</c:f>
              <c:numCache>
                <c:formatCode>General</c:formatCode>
                <c:ptCount val="4"/>
                <c:pt idx="0">
                  <c:v>-775.01269999999897</c:v>
                </c:pt>
                <c:pt idx="1">
                  <c:v>-1951.4917</c:v>
                </c:pt>
                <c:pt idx="2">
                  <c:v>-647.54350000000011</c:v>
                </c:pt>
                <c:pt idx="3">
                  <c:v>2864.1883999999991</c:v>
                </c:pt>
              </c:numCache>
            </c:numRef>
          </c:val>
          <c:smooth val="0"/>
          <c:extLst>
            <c:ext xmlns:c16="http://schemas.microsoft.com/office/drawing/2014/chart" uri="{C3380CC4-5D6E-409C-BE32-E72D297353CC}">
              <c16:uniqueId val="{00000000-F0CA-4D4B-AF77-22417C3566B2}"/>
            </c:ext>
          </c:extLst>
        </c:ser>
        <c:dLbls>
          <c:showLegendKey val="0"/>
          <c:showVal val="0"/>
          <c:showCatName val="0"/>
          <c:showSerName val="0"/>
          <c:showPercent val="0"/>
          <c:showBubbleSize val="0"/>
        </c:dLbls>
        <c:marker val="1"/>
        <c:smooth val="0"/>
        <c:axId val="1375235167"/>
        <c:axId val="1379499823"/>
      </c:lineChart>
      <c:catAx>
        <c:axId val="13752351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9499823"/>
        <c:crosses val="autoZero"/>
        <c:auto val="1"/>
        <c:lblAlgn val="ctr"/>
        <c:lblOffset val="100"/>
        <c:noMultiLvlLbl val="0"/>
      </c:catAx>
      <c:valAx>
        <c:axId val="1379499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52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[Tanvi_ExcelDashboard.xlsx]Pivot Table and Charts!PivotTable3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12"/>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13"/>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Charts'!$H$3</c:f>
              <c:strCache>
                <c:ptCount val="1"/>
                <c:pt idx="0">
                  <c:v>Sum of Sales</c:v>
                </c:pt>
              </c:strCache>
            </c:strRef>
          </c:tx>
          <c:spPr>
            <a:ln>
              <a:noFill/>
            </a:ln>
          </c:spPr>
          <c:dPt>
            <c:idx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A7-44A0-8019-886976EA8F56}"/>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A7-44A0-8019-886976EA8F56}"/>
              </c:ext>
            </c:extLst>
          </c:dPt>
          <c:dPt>
            <c:idx val="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A7-44A0-8019-886976EA8F56}"/>
              </c:ext>
            </c:extLst>
          </c:dPt>
          <c:cat>
            <c:strRef>
              <c:f>'Pivot Table and Charts'!$G$4:$G$7</c:f>
              <c:strCache>
                <c:ptCount val="3"/>
                <c:pt idx="0">
                  <c:v>First Class</c:v>
                </c:pt>
                <c:pt idx="1">
                  <c:v>Second Class</c:v>
                </c:pt>
                <c:pt idx="2">
                  <c:v>Standard Class</c:v>
                </c:pt>
              </c:strCache>
            </c:strRef>
          </c:cat>
          <c:val>
            <c:numRef>
              <c:f>'Pivot Table and Charts'!$H$4:$H$7</c:f>
              <c:numCache>
                <c:formatCode>General</c:formatCode>
                <c:ptCount val="3"/>
                <c:pt idx="0">
                  <c:v>7943.7159999999994</c:v>
                </c:pt>
                <c:pt idx="1">
                  <c:v>20087.699000000004</c:v>
                </c:pt>
                <c:pt idx="2">
                  <c:v>48789.914200000028</c:v>
                </c:pt>
              </c:numCache>
            </c:numRef>
          </c:val>
          <c:extLst>
            <c:ext xmlns:c16="http://schemas.microsoft.com/office/drawing/2014/chart" uri="{C3380CC4-5D6E-409C-BE32-E72D297353CC}">
              <c16:uniqueId val="{00000006-DBA7-44A0-8019-886976EA8F56}"/>
            </c:ext>
          </c:extLst>
        </c:ser>
        <c:ser>
          <c:idx val="1"/>
          <c:order val="1"/>
          <c:tx>
            <c:strRef>
              <c:f>'Pivot Table and Charts'!$I$3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BA7-44A0-8019-886976EA8F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BA7-44A0-8019-886976EA8F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BA7-44A0-8019-886976EA8F56}"/>
              </c:ext>
            </c:extLst>
          </c:dPt>
          <c:cat>
            <c:strRef>
              <c:f>'Pivot Table and Charts'!$G$4:$G$7</c:f>
              <c:strCache>
                <c:ptCount val="3"/>
                <c:pt idx="0">
                  <c:v>First Class</c:v>
                </c:pt>
                <c:pt idx="1">
                  <c:v>Second Class</c:v>
                </c:pt>
                <c:pt idx="2">
                  <c:v>Standard Class</c:v>
                </c:pt>
              </c:strCache>
            </c:strRef>
          </c:cat>
          <c:val>
            <c:numRef>
              <c:f>'Pivot Table and Charts'!$I$4:$I$7</c:f>
              <c:numCache>
                <c:formatCode>General</c:formatCode>
                <c:ptCount val="3"/>
                <c:pt idx="0">
                  <c:v>486.70609999999988</c:v>
                </c:pt>
                <c:pt idx="1">
                  <c:v>667.5868999999999</c:v>
                </c:pt>
                <c:pt idx="2">
                  <c:v>-1664.1525000000004</c:v>
                </c:pt>
              </c:numCache>
            </c:numRef>
          </c:val>
          <c:extLst>
            <c:ext xmlns:c16="http://schemas.microsoft.com/office/drawing/2014/chart" uri="{C3380CC4-5D6E-409C-BE32-E72D297353CC}">
              <c16:uniqueId val="{0000000D-DBA7-44A0-8019-886976EA8F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373380</xdr:colOff>
      <xdr:row>24</xdr:row>
      <xdr:rowOff>0</xdr:rowOff>
    </xdr:to>
    <xdr:graphicFrame macro="">
      <xdr:nvGraphicFramePr>
        <xdr:cNvPr id="2" name="Chart 1">
          <a:extLst>
            <a:ext uri="{FF2B5EF4-FFF2-40B4-BE49-F238E27FC236}">
              <a16:creationId xmlns:a16="http://schemas.microsoft.com/office/drawing/2014/main" id="{E89FB176-E164-4629-8918-9C08BED87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0</xdr:rowOff>
    </xdr:from>
    <xdr:to>
      <xdr:col>12</xdr:col>
      <xdr:colOff>152400</xdr:colOff>
      <xdr:row>23</xdr:row>
      <xdr:rowOff>175260</xdr:rowOff>
    </xdr:to>
    <xdr:graphicFrame macro="">
      <xdr:nvGraphicFramePr>
        <xdr:cNvPr id="3" name="Chart 2">
          <a:extLst>
            <a:ext uri="{FF2B5EF4-FFF2-40B4-BE49-F238E27FC236}">
              <a16:creationId xmlns:a16="http://schemas.microsoft.com/office/drawing/2014/main" id="{647F5C73-C93D-4CED-B793-5EF0BB7EA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xdr:colOff>
      <xdr:row>9</xdr:row>
      <xdr:rowOff>167640</xdr:rowOff>
    </xdr:from>
    <xdr:to>
      <xdr:col>19</xdr:col>
      <xdr:colOff>495300</xdr:colOff>
      <xdr:row>24</xdr:row>
      <xdr:rowOff>7620</xdr:rowOff>
    </xdr:to>
    <xdr:graphicFrame macro="">
      <xdr:nvGraphicFramePr>
        <xdr:cNvPr id="4" name="Chart 3">
          <a:extLst>
            <a:ext uri="{FF2B5EF4-FFF2-40B4-BE49-F238E27FC236}">
              <a16:creationId xmlns:a16="http://schemas.microsoft.com/office/drawing/2014/main" id="{7FF956A6-84D4-410A-A1AB-A84C1BD89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7620</xdr:colOff>
      <xdr:row>1</xdr:row>
      <xdr:rowOff>7621</xdr:rowOff>
    </xdr:from>
    <xdr:to>
      <xdr:col>13</xdr:col>
      <xdr:colOff>7620</xdr:colOff>
      <xdr:row>9</xdr:row>
      <xdr:rowOff>53340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AF627320-44AA-4715-8260-9F665E557A5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34300" y="190501"/>
              <a:ext cx="182880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xdr:row>
      <xdr:rowOff>0</xdr:rowOff>
    </xdr:from>
    <xdr:to>
      <xdr:col>19</xdr:col>
      <xdr:colOff>289560</xdr:colOff>
      <xdr:row>8</xdr:row>
      <xdr:rowOff>91440</xdr:rowOff>
    </xdr:to>
    <mc:AlternateContent xmlns:mc="http://schemas.openxmlformats.org/markup-compatibility/2006" xmlns:tsle="http://schemas.microsoft.com/office/drawing/2012/timeslicer">
      <mc:Choice Requires="tsle">
        <xdr:graphicFrame macro="">
          <xdr:nvGraphicFramePr>
            <xdr:cNvPr id="6" name="Ship Date">
              <a:extLst>
                <a:ext uri="{FF2B5EF4-FFF2-40B4-BE49-F238E27FC236}">
                  <a16:creationId xmlns:a16="http://schemas.microsoft.com/office/drawing/2014/main" id="{EC3A154D-1A97-4745-A244-B8437EC64B12}"/>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165080" y="1828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8467</xdr:colOff>
      <xdr:row>0</xdr:row>
      <xdr:rowOff>10161</xdr:rowOff>
    </xdr:from>
    <xdr:to>
      <xdr:col>25</xdr:col>
      <xdr:colOff>423334</xdr:colOff>
      <xdr:row>31</xdr:row>
      <xdr:rowOff>25400</xdr:rowOff>
    </xdr:to>
    <xdr:sp macro="" textlink="">
      <xdr:nvSpPr>
        <xdr:cNvPr id="2" name="Rectangle: Rounded Corners 1">
          <a:extLst>
            <a:ext uri="{FF2B5EF4-FFF2-40B4-BE49-F238E27FC236}">
              <a16:creationId xmlns:a16="http://schemas.microsoft.com/office/drawing/2014/main" id="{FDDCE0F8-3392-42A9-A3D5-A1D3591CE407}"/>
            </a:ext>
          </a:extLst>
        </xdr:cNvPr>
        <xdr:cNvSpPr/>
      </xdr:nvSpPr>
      <xdr:spPr>
        <a:xfrm>
          <a:off x="8467" y="10161"/>
          <a:ext cx="15654867" cy="5789506"/>
        </a:xfrm>
        <a:prstGeom prst="roundRect">
          <a:avLst>
            <a:gd name="adj" fmla="val 2119"/>
          </a:avLst>
        </a:prstGeom>
        <a:solidFill>
          <a:schemeClr val="bg1">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76197</xdr:colOff>
      <xdr:row>0</xdr:row>
      <xdr:rowOff>76198</xdr:rowOff>
    </xdr:from>
    <xdr:to>
      <xdr:col>25</xdr:col>
      <xdr:colOff>347134</xdr:colOff>
      <xdr:row>5</xdr:row>
      <xdr:rowOff>33867</xdr:rowOff>
    </xdr:to>
    <xdr:sp macro="" textlink="">
      <xdr:nvSpPr>
        <xdr:cNvPr id="3" name="Rectangle: Rounded Corners 2">
          <a:extLst>
            <a:ext uri="{FF2B5EF4-FFF2-40B4-BE49-F238E27FC236}">
              <a16:creationId xmlns:a16="http://schemas.microsoft.com/office/drawing/2014/main" id="{A9970492-CCE6-4BBA-B81A-F1D7D258F37F}"/>
            </a:ext>
          </a:extLst>
        </xdr:cNvPr>
        <xdr:cNvSpPr/>
      </xdr:nvSpPr>
      <xdr:spPr>
        <a:xfrm>
          <a:off x="76197" y="76198"/>
          <a:ext cx="15510937" cy="889002"/>
        </a:xfrm>
        <a:prstGeom prst="roundRect">
          <a:avLst>
            <a:gd name="adj" fmla="val 12000"/>
          </a:avLst>
        </a:prstGeom>
        <a:solidFill>
          <a:schemeClr val="tx1">
            <a:lumMod val="85000"/>
            <a:lumOff val="1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465666</xdr:colOff>
      <xdr:row>1</xdr:row>
      <xdr:rowOff>59266</xdr:rowOff>
    </xdr:from>
    <xdr:to>
      <xdr:col>18</xdr:col>
      <xdr:colOff>169333</xdr:colOff>
      <xdr:row>5</xdr:row>
      <xdr:rowOff>16933</xdr:rowOff>
    </xdr:to>
    <xdr:sp macro="" textlink="">
      <xdr:nvSpPr>
        <xdr:cNvPr id="4" name="TextBox 3">
          <a:extLst>
            <a:ext uri="{FF2B5EF4-FFF2-40B4-BE49-F238E27FC236}">
              <a16:creationId xmlns:a16="http://schemas.microsoft.com/office/drawing/2014/main" id="{584B43EF-9D77-4DF7-8787-991508CCA421}"/>
            </a:ext>
          </a:extLst>
        </xdr:cNvPr>
        <xdr:cNvSpPr txBox="1"/>
      </xdr:nvSpPr>
      <xdr:spPr>
        <a:xfrm>
          <a:off x="6561666" y="245533"/>
          <a:ext cx="4580467" cy="702733"/>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300" b="1" i="1">
              <a:solidFill>
                <a:schemeClr val="bg1"/>
              </a:solidFill>
            </a:rPr>
            <a:t>DASHBOARD</a:t>
          </a:r>
        </a:p>
      </xdr:txBody>
    </xdr:sp>
    <xdr:clientData/>
  </xdr:twoCellAnchor>
  <xdr:twoCellAnchor editAs="oneCell">
    <xdr:from>
      <xdr:col>9</xdr:col>
      <xdr:colOff>499533</xdr:colOff>
      <xdr:row>1</xdr:row>
      <xdr:rowOff>76198</xdr:rowOff>
    </xdr:from>
    <xdr:to>
      <xdr:col>10</xdr:col>
      <xdr:colOff>465665</xdr:colOff>
      <xdr:row>4</xdr:row>
      <xdr:rowOff>93130</xdr:rowOff>
    </xdr:to>
    <xdr:pic>
      <xdr:nvPicPr>
        <xdr:cNvPr id="6" name="Graphic 5" descr="Bar graph with upward trend">
          <a:extLst>
            <a:ext uri="{FF2B5EF4-FFF2-40B4-BE49-F238E27FC236}">
              <a16:creationId xmlns:a16="http://schemas.microsoft.com/office/drawing/2014/main" id="{64D9EAB5-9159-4AFA-A310-6E0029D969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985933" y="262465"/>
          <a:ext cx="575732" cy="575732"/>
        </a:xfrm>
        <a:prstGeom prst="rect">
          <a:avLst/>
        </a:prstGeom>
      </xdr:spPr>
    </xdr:pic>
    <xdr:clientData/>
  </xdr:twoCellAnchor>
  <xdr:twoCellAnchor editAs="oneCell">
    <xdr:from>
      <xdr:col>14</xdr:col>
      <xdr:colOff>465662</xdr:colOff>
      <xdr:row>1</xdr:row>
      <xdr:rowOff>67728</xdr:rowOff>
    </xdr:from>
    <xdr:to>
      <xdr:col>15</xdr:col>
      <xdr:colOff>414861</xdr:colOff>
      <xdr:row>4</xdr:row>
      <xdr:rowOff>76196</xdr:rowOff>
    </xdr:to>
    <xdr:pic>
      <xdr:nvPicPr>
        <xdr:cNvPr id="8" name="Graphic 7" descr="Bar graph with upward trend RTL">
          <a:extLst>
            <a:ext uri="{FF2B5EF4-FFF2-40B4-BE49-F238E27FC236}">
              <a16:creationId xmlns:a16="http://schemas.microsoft.com/office/drawing/2014/main" id="{38F36D8F-037F-431E-AC4D-1615820FA9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000062" y="253995"/>
          <a:ext cx="558799" cy="567268"/>
        </a:xfrm>
        <a:prstGeom prst="rect">
          <a:avLst/>
        </a:prstGeom>
      </xdr:spPr>
    </xdr:pic>
    <xdr:clientData/>
  </xdr:twoCellAnchor>
  <xdr:twoCellAnchor editAs="oneCell">
    <xdr:from>
      <xdr:col>1</xdr:col>
      <xdr:colOff>270937</xdr:colOff>
      <xdr:row>5</xdr:row>
      <xdr:rowOff>103292</xdr:rowOff>
    </xdr:from>
    <xdr:to>
      <xdr:col>4</xdr:col>
      <xdr:colOff>270937</xdr:colOff>
      <xdr:row>13</xdr:row>
      <xdr:rowOff>25397</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45B8917B-0F8E-40ED-A3E4-CDE472741E4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80537" y="1034625"/>
              <a:ext cx="1828800" cy="1412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414868</xdr:colOff>
      <xdr:row>5</xdr:row>
      <xdr:rowOff>111756</xdr:rowOff>
    </xdr:from>
    <xdr:to>
      <xdr:col>24</xdr:col>
      <xdr:colOff>94828</xdr:colOff>
      <xdr:row>13</xdr:row>
      <xdr:rowOff>16930</xdr:rowOff>
    </xdr:to>
    <mc:AlternateContent xmlns:mc="http://schemas.openxmlformats.org/markup-compatibility/2006" xmlns:tsle="http://schemas.microsoft.com/office/drawing/2012/timeslicer">
      <mc:Choice Requires="tsle">
        <xdr:graphicFrame macro="">
          <xdr:nvGraphicFramePr>
            <xdr:cNvPr id="11" name="Ship Date 1">
              <a:extLst>
                <a:ext uri="{FF2B5EF4-FFF2-40B4-BE49-F238E27FC236}">
                  <a16:creationId xmlns:a16="http://schemas.microsoft.com/office/drawing/2014/main" id="{62348145-4F26-4DC3-A7F7-BA07F90DEA65}"/>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11387668" y="1043089"/>
              <a:ext cx="3337560" cy="13953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313267</xdr:colOff>
      <xdr:row>6</xdr:row>
      <xdr:rowOff>50799</xdr:rowOff>
    </xdr:from>
    <xdr:to>
      <xdr:col>8</xdr:col>
      <xdr:colOff>584200</xdr:colOff>
      <xdr:row>12</xdr:row>
      <xdr:rowOff>67732</xdr:rowOff>
    </xdr:to>
    <xdr:sp macro="" textlink="">
      <xdr:nvSpPr>
        <xdr:cNvPr id="12" name="Rectangle: Rounded Corners 11">
          <a:extLst>
            <a:ext uri="{FF2B5EF4-FFF2-40B4-BE49-F238E27FC236}">
              <a16:creationId xmlns:a16="http://schemas.microsoft.com/office/drawing/2014/main" id="{1ECA12FE-6948-45A5-9404-31FF5538691D}"/>
            </a:ext>
          </a:extLst>
        </xdr:cNvPr>
        <xdr:cNvSpPr/>
      </xdr:nvSpPr>
      <xdr:spPr>
        <a:xfrm>
          <a:off x="3361267" y="1168399"/>
          <a:ext cx="2099733" cy="1134533"/>
        </a:xfrm>
        <a:prstGeom prst="roundRect">
          <a:avLst>
            <a:gd name="adj" fmla="val 9204"/>
          </a:avLst>
        </a:prstGeom>
        <a:solidFill>
          <a:schemeClr val="tx1">
            <a:lumMod val="85000"/>
            <a:lumOff val="1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575723</xdr:colOff>
      <xdr:row>6</xdr:row>
      <xdr:rowOff>76198</xdr:rowOff>
    </xdr:from>
    <xdr:to>
      <xdr:col>13</xdr:col>
      <xdr:colOff>237056</xdr:colOff>
      <xdr:row>12</xdr:row>
      <xdr:rowOff>93131</xdr:rowOff>
    </xdr:to>
    <xdr:sp macro="" textlink="">
      <xdr:nvSpPr>
        <xdr:cNvPr id="13" name="Rectangle: Rounded Corners 12">
          <a:extLst>
            <a:ext uri="{FF2B5EF4-FFF2-40B4-BE49-F238E27FC236}">
              <a16:creationId xmlns:a16="http://schemas.microsoft.com/office/drawing/2014/main" id="{66B31590-0E69-4B24-96BB-4B8036623FD9}"/>
            </a:ext>
          </a:extLst>
        </xdr:cNvPr>
        <xdr:cNvSpPr/>
      </xdr:nvSpPr>
      <xdr:spPr>
        <a:xfrm>
          <a:off x="6062123" y="1193798"/>
          <a:ext cx="2099733" cy="1134533"/>
        </a:xfrm>
        <a:prstGeom prst="roundRect">
          <a:avLst>
            <a:gd name="adj" fmla="val 9204"/>
          </a:avLst>
        </a:prstGeom>
        <a:solidFill>
          <a:schemeClr val="tx1">
            <a:lumMod val="85000"/>
            <a:lumOff val="1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186255</xdr:colOff>
      <xdr:row>6</xdr:row>
      <xdr:rowOff>67733</xdr:rowOff>
    </xdr:from>
    <xdr:to>
      <xdr:col>17</xdr:col>
      <xdr:colOff>457188</xdr:colOff>
      <xdr:row>12</xdr:row>
      <xdr:rowOff>84666</xdr:rowOff>
    </xdr:to>
    <xdr:sp macro="" textlink="">
      <xdr:nvSpPr>
        <xdr:cNvPr id="14" name="Rectangle: Rounded Corners 13">
          <a:extLst>
            <a:ext uri="{FF2B5EF4-FFF2-40B4-BE49-F238E27FC236}">
              <a16:creationId xmlns:a16="http://schemas.microsoft.com/office/drawing/2014/main" id="{07967076-4DC7-4FC8-A31F-0F43643793F3}"/>
            </a:ext>
          </a:extLst>
        </xdr:cNvPr>
        <xdr:cNvSpPr/>
      </xdr:nvSpPr>
      <xdr:spPr>
        <a:xfrm>
          <a:off x="8720655" y="1185333"/>
          <a:ext cx="2099733" cy="1134533"/>
        </a:xfrm>
        <a:prstGeom prst="roundRect">
          <a:avLst>
            <a:gd name="adj" fmla="val 9204"/>
          </a:avLst>
        </a:prstGeom>
        <a:solidFill>
          <a:schemeClr val="tx1">
            <a:lumMod val="85000"/>
            <a:lumOff val="1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76198</xdr:colOff>
      <xdr:row>13</xdr:row>
      <xdr:rowOff>76200</xdr:rowOff>
    </xdr:from>
    <xdr:to>
      <xdr:col>8</xdr:col>
      <xdr:colOff>304800</xdr:colOff>
      <xdr:row>30</xdr:row>
      <xdr:rowOff>127000</xdr:rowOff>
    </xdr:to>
    <xdr:graphicFrame macro="">
      <xdr:nvGraphicFramePr>
        <xdr:cNvPr id="17" name="Chart 16">
          <a:extLst>
            <a:ext uri="{FF2B5EF4-FFF2-40B4-BE49-F238E27FC236}">
              <a16:creationId xmlns:a16="http://schemas.microsoft.com/office/drawing/2014/main" id="{646EE8B5-BA04-4024-93D8-AB1C12E8F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389461</xdr:colOff>
      <xdr:row>13</xdr:row>
      <xdr:rowOff>84671</xdr:rowOff>
    </xdr:from>
    <xdr:to>
      <xdr:col>17</xdr:col>
      <xdr:colOff>8467</xdr:colOff>
      <xdr:row>30</xdr:row>
      <xdr:rowOff>135471</xdr:rowOff>
    </xdr:to>
    <xdr:graphicFrame macro="">
      <xdr:nvGraphicFramePr>
        <xdr:cNvPr id="18" name="Chart 17">
          <a:extLst>
            <a:ext uri="{FF2B5EF4-FFF2-40B4-BE49-F238E27FC236}">
              <a16:creationId xmlns:a16="http://schemas.microsoft.com/office/drawing/2014/main" id="{4AA39E1F-A6D2-45C4-9054-49F20795F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101601</xdr:colOff>
      <xdr:row>13</xdr:row>
      <xdr:rowOff>76199</xdr:rowOff>
    </xdr:from>
    <xdr:to>
      <xdr:col>25</xdr:col>
      <xdr:colOff>330201</xdr:colOff>
      <xdr:row>30</xdr:row>
      <xdr:rowOff>127000</xdr:rowOff>
    </xdr:to>
    <xdr:graphicFrame macro="">
      <xdr:nvGraphicFramePr>
        <xdr:cNvPr id="19" name="Chart 18">
          <a:extLst>
            <a:ext uri="{FF2B5EF4-FFF2-40B4-BE49-F238E27FC236}">
              <a16:creationId xmlns:a16="http://schemas.microsoft.com/office/drawing/2014/main" id="{DCC28ECF-0EA8-430F-92BB-EA760B52B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601134</xdr:colOff>
      <xdr:row>7</xdr:row>
      <xdr:rowOff>84664</xdr:rowOff>
    </xdr:from>
    <xdr:to>
      <xdr:col>8</xdr:col>
      <xdr:colOff>448734</xdr:colOff>
      <xdr:row>10</xdr:row>
      <xdr:rowOff>8466</xdr:rowOff>
    </xdr:to>
    <xdr:sp macro="" textlink="">
      <xdr:nvSpPr>
        <xdr:cNvPr id="20" name="TextBox 19">
          <a:extLst>
            <a:ext uri="{FF2B5EF4-FFF2-40B4-BE49-F238E27FC236}">
              <a16:creationId xmlns:a16="http://schemas.microsoft.com/office/drawing/2014/main" id="{A3B0E339-37BA-4C58-A395-F04A5163AE44}"/>
            </a:ext>
          </a:extLst>
        </xdr:cNvPr>
        <xdr:cNvSpPr txBox="1"/>
      </xdr:nvSpPr>
      <xdr:spPr>
        <a:xfrm>
          <a:off x="3649134" y="1388531"/>
          <a:ext cx="1676400" cy="482602"/>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chemeClr val="bg1"/>
              </a:solidFill>
            </a:rPr>
            <a:t>TOTAL SALES</a:t>
          </a:r>
        </a:p>
      </xdr:txBody>
    </xdr:sp>
    <xdr:clientData/>
  </xdr:twoCellAnchor>
  <xdr:twoCellAnchor>
    <xdr:from>
      <xdr:col>6</xdr:col>
      <xdr:colOff>110067</xdr:colOff>
      <xdr:row>9</xdr:row>
      <xdr:rowOff>50799</xdr:rowOff>
    </xdr:from>
    <xdr:to>
      <xdr:col>8</xdr:col>
      <xdr:colOff>448733</xdr:colOff>
      <xdr:row>11</xdr:row>
      <xdr:rowOff>101600</xdr:rowOff>
    </xdr:to>
    <xdr:sp macro="" textlink="Dataset!AA2">
      <xdr:nvSpPr>
        <xdr:cNvPr id="21" name="TextBox 20">
          <a:extLst>
            <a:ext uri="{FF2B5EF4-FFF2-40B4-BE49-F238E27FC236}">
              <a16:creationId xmlns:a16="http://schemas.microsoft.com/office/drawing/2014/main" id="{9EE7C896-0BF1-47C1-873A-1A5D19F0800E}"/>
            </a:ext>
          </a:extLst>
        </xdr:cNvPr>
        <xdr:cNvSpPr txBox="1"/>
      </xdr:nvSpPr>
      <xdr:spPr>
        <a:xfrm>
          <a:off x="3767667" y="1727199"/>
          <a:ext cx="1557866" cy="42333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B5E27E-0177-435E-AB13-3E1B4C7E9AEF}" type="TxLink">
            <a:rPr lang="en-US" sz="2000" b="1" i="0" u="none" strike="noStrike">
              <a:solidFill>
                <a:schemeClr val="bg1"/>
              </a:solidFill>
              <a:latin typeface="Calibri"/>
              <a:ea typeface="Calibri"/>
              <a:cs typeface="Calibri"/>
            </a:rPr>
            <a:pPr/>
            <a:t>76821.33</a:t>
          </a:fld>
          <a:endParaRPr lang="en-IN" sz="2000" b="1">
            <a:solidFill>
              <a:schemeClr val="bg1"/>
            </a:solidFill>
          </a:endParaRPr>
        </a:p>
      </xdr:txBody>
    </xdr:sp>
    <xdr:clientData/>
  </xdr:twoCellAnchor>
  <xdr:twoCellAnchor>
    <xdr:from>
      <xdr:col>9</xdr:col>
      <xdr:colOff>601135</xdr:colOff>
      <xdr:row>7</xdr:row>
      <xdr:rowOff>84667</xdr:rowOff>
    </xdr:from>
    <xdr:to>
      <xdr:col>13</xdr:col>
      <xdr:colOff>220134</xdr:colOff>
      <xdr:row>9</xdr:row>
      <xdr:rowOff>127001</xdr:rowOff>
    </xdr:to>
    <xdr:sp macro="" textlink="">
      <xdr:nvSpPr>
        <xdr:cNvPr id="22" name="TextBox 21">
          <a:extLst>
            <a:ext uri="{FF2B5EF4-FFF2-40B4-BE49-F238E27FC236}">
              <a16:creationId xmlns:a16="http://schemas.microsoft.com/office/drawing/2014/main" id="{63E0CF38-5D9F-45E2-9855-0EBDEF9D6D15}"/>
            </a:ext>
          </a:extLst>
        </xdr:cNvPr>
        <xdr:cNvSpPr txBox="1"/>
      </xdr:nvSpPr>
      <xdr:spPr>
        <a:xfrm>
          <a:off x="6087535" y="1388534"/>
          <a:ext cx="2057399" cy="414867"/>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TOTAL QUANTITY</a:t>
          </a:r>
        </a:p>
      </xdr:txBody>
    </xdr:sp>
    <xdr:clientData/>
  </xdr:twoCellAnchor>
  <xdr:twoCellAnchor>
    <xdr:from>
      <xdr:col>11</xdr:col>
      <xdr:colOff>0</xdr:colOff>
      <xdr:row>9</xdr:row>
      <xdr:rowOff>59267</xdr:rowOff>
    </xdr:from>
    <xdr:to>
      <xdr:col>12</xdr:col>
      <xdr:colOff>296334</xdr:colOff>
      <xdr:row>11</xdr:row>
      <xdr:rowOff>25401</xdr:rowOff>
    </xdr:to>
    <xdr:sp macro="" textlink="Dataset!AB2">
      <xdr:nvSpPr>
        <xdr:cNvPr id="23" name="TextBox 22">
          <a:extLst>
            <a:ext uri="{FF2B5EF4-FFF2-40B4-BE49-F238E27FC236}">
              <a16:creationId xmlns:a16="http://schemas.microsoft.com/office/drawing/2014/main" id="{6AF7AB42-09EB-4799-9336-C146635C8724}"/>
            </a:ext>
          </a:extLst>
        </xdr:cNvPr>
        <xdr:cNvSpPr txBox="1"/>
      </xdr:nvSpPr>
      <xdr:spPr>
        <a:xfrm>
          <a:off x="6705600" y="1735667"/>
          <a:ext cx="905934" cy="338667"/>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BB88E9-B072-4C0B-9A2F-A640B641574F}" type="TxLink">
            <a:rPr lang="en-US" sz="2000" b="1" i="0" u="none" strike="noStrike">
              <a:solidFill>
                <a:schemeClr val="bg1"/>
              </a:solidFill>
              <a:latin typeface="Calibri"/>
              <a:ea typeface="Calibri"/>
              <a:cs typeface="Calibri"/>
            </a:rPr>
            <a:pPr/>
            <a:t>1205</a:t>
          </a:fld>
          <a:endParaRPr lang="en-IN" sz="2000" b="1">
            <a:solidFill>
              <a:schemeClr val="bg1"/>
            </a:solidFill>
          </a:endParaRPr>
        </a:p>
      </xdr:txBody>
    </xdr:sp>
    <xdr:clientData/>
  </xdr:twoCellAnchor>
  <xdr:twoCellAnchor>
    <xdr:from>
      <xdr:col>14</xdr:col>
      <xdr:colOff>397934</xdr:colOff>
      <xdr:row>7</xdr:row>
      <xdr:rowOff>126998</xdr:rowOff>
    </xdr:from>
    <xdr:to>
      <xdr:col>17</xdr:col>
      <xdr:colOff>245535</xdr:colOff>
      <xdr:row>9</xdr:row>
      <xdr:rowOff>84665</xdr:rowOff>
    </xdr:to>
    <xdr:sp macro="" textlink="">
      <xdr:nvSpPr>
        <xdr:cNvPr id="24" name="TextBox 23">
          <a:extLst>
            <a:ext uri="{FF2B5EF4-FFF2-40B4-BE49-F238E27FC236}">
              <a16:creationId xmlns:a16="http://schemas.microsoft.com/office/drawing/2014/main" id="{B0621582-4575-43FC-8A3D-97EC7FFD7052}"/>
            </a:ext>
          </a:extLst>
        </xdr:cNvPr>
        <xdr:cNvSpPr txBox="1"/>
      </xdr:nvSpPr>
      <xdr:spPr>
        <a:xfrm>
          <a:off x="8932334" y="1430865"/>
          <a:ext cx="1676401" cy="33020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chemeClr val="bg1"/>
              </a:solidFill>
            </a:rPr>
            <a:t>TOTAL PROFIT</a:t>
          </a:r>
        </a:p>
      </xdr:txBody>
    </xdr:sp>
    <xdr:clientData/>
  </xdr:twoCellAnchor>
  <xdr:twoCellAnchor>
    <xdr:from>
      <xdr:col>15</xdr:col>
      <xdr:colOff>101601</xdr:colOff>
      <xdr:row>9</xdr:row>
      <xdr:rowOff>59268</xdr:rowOff>
    </xdr:from>
    <xdr:to>
      <xdr:col>17</xdr:col>
      <xdr:colOff>59268</xdr:colOff>
      <xdr:row>11</xdr:row>
      <xdr:rowOff>42335</xdr:rowOff>
    </xdr:to>
    <xdr:sp macro="" textlink="Dataset!AC2">
      <xdr:nvSpPr>
        <xdr:cNvPr id="25" name="TextBox 24">
          <a:extLst>
            <a:ext uri="{FF2B5EF4-FFF2-40B4-BE49-F238E27FC236}">
              <a16:creationId xmlns:a16="http://schemas.microsoft.com/office/drawing/2014/main" id="{112A0F4A-ACDA-4285-8FE3-416A08A87367}"/>
            </a:ext>
          </a:extLst>
        </xdr:cNvPr>
        <xdr:cNvSpPr txBox="1"/>
      </xdr:nvSpPr>
      <xdr:spPr>
        <a:xfrm>
          <a:off x="9245601" y="1735668"/>
          <a:ext cx="1176867" cy="35560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CDE65-996C-4B8F-A900-55612804CBF2}" type="TxLink">
            <a:rPr lang="en-US" sz="2000" b="1" i="0" u="none" strike="noStrike">
              <a:solidFill>
                <a:schemeClr val="bg1"/>
              </a:solidFill>
              <a:latin typeface="Calibri"/>
              <a:ea typeface="Calibri"/>
              <a:cs typeface="Calibri"/>
            </a:rPr>
            <a:pPr/>
            <a:t>-509.86</a:t>
          </a:fld>
          <a:endParaRPr lang="en-IN" sz="2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6.737574537037" createdVersion="6" refreshedVersion="6" minRefreshableVersion="3" recordCount="299" xr:uid="{A9D9185C-176A-4181-AFAE-8D73A930907B}">
  <cacheSource type="worksheet">
    <worksheetSource ref="A1:T300" sheet="Dataset"/>
  </cacheSource>
  <cacheFields count="20">
    <cacheField name="Row ID" numFmtId="0">
      <sharedItems containsSemiMixedTypes="0" containsString="0" containsNumber="1" containsInteger="1" minValue="1" maxValue="299"/>
    </cacheField>
    <cacheField name="Order Date" numFmtId="164">
      <sharedItems containsSemiMixedTypes="0" containsNonDate="0" containsDate="1" containsString="0" minDate="2011-03-01T00:00:00" maxDate="2014-12-30T00:00:00"/>
    </cacheField>
    <cacheField name="Year" numFmtId="0">
      <sharedItems containsSemiMixedTypes="0" containsString="0" containsNumber="1" containsInteger="1" minValue="2011" maxValue="2014"/>
    </cacheField>
    <cacheField name="Month" numFmtId="165">
      <sharedItems count="12">
        <s v="Nov"/>
        <s v="Jun"/>
        <s v="Oct"/>
        <s v="Apr"/>
        <s v="Dec"/>
        <s v="May"/>
        <s v="Aug"/>
        <s v="Jul"/>
        <s v="Sep"/>
        <s v="Jan"/>
        <s v="Mar"/>
        <s v="Feb"/>
      </sharedItems>
    </cacheField>
    <cacheField name="Ship Date" numFmtId="164">
      <sharedItems containsSemiMixedTypes="0" containsNonDate="0" containsDate="1" containsString="0" minDate="2011-03-06T00:00:00" maxDate="2015-01-04T00:00:00" count="122">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sharedItems>
    </cacheField>
    <cacheField name="Delivery Time" numFmtId="0">
      <sharedItems containsSemiMixedTypes="0" containsString="0" containsNumber="1" containsInteger="1" minValue="1" maxValue="7"/>
    </cacheField>
    <cacheField name="Ship Mode" numFmtId="0">
      <sharedItems count="3">
        <s v="Second Class"/>
        <s v="Standard Class"/>
        <s v="First Class"/>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1.248" maxValue="8159.9520000000002"/>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2">
      <sharedItems containsSemiMixedTypes="0" containsString="0" containsNumber="1" minValue="-1665.0522000000001" maxValue="636.00030000000004"/>
    </cacheField>
  </cacheFields>
  <extLst>
    <ext xmlns:x14="http://schemas.microsoft.com/office/spreadsheetml/2009/9/main" uri="{725AE2AE-9491-48be-B2B4-4EB974FC3084}">
      <x14:pivotCacheDefinition pivotCacheId="98317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n v="1"/>
    <d v="2013-11-09T00:00:00"/>
    <n v="2013"/>
    <x v="0"/>
    <x v="0"/>
    <n v="3"/>
    <x v="0"/>
    <s v="Claire Gute"/>
    <s v="Consumer"/>
    <s v="United States"/>
    <s v="Henderson"/>
    <s v="Kentucky"/>
    <x v="0"/>
    <x v="0"/>
    <s v="Bookcases"/>
    <s v="Bush Somerset Collection Bookcase"/>
    <n v="261.95999999999998"/>
    <n v="2"/>
    <n v="0"/>
    <n v="41.913600000000002"/>
  </r>
  <r>
    <n v="2"/>
    <d v="2013-11-09T00:00:00"/>
    <n v="2013"/>
    <x v="0"/>
    <x v="0"/>
    <n v="3"/>
    <x v="0"/>
    <s v="Claire Gute"/>
    <s v="Consumer"/>
    <s v="United States"/>
    <s v="Henderson"/>
    <s v="Kentucky"/>
    <x v="0"/>
    <x v="0"/>
    <s v="Chairs"/>
    <s v="Hon Deluxe Fabric Upholstered Stacking Chairs, Rounded Back"/>
    <n v="731.94"/>
    <n v="3"/>
    <n v="0"/>
    <n v="219.58199999999999"/>
  </r>
  <r>
    <n v="3"/>
    <d v="2013-06-13T00:00:00"/>
    <n v="2013"/>
    <x v="1"/>
    <x v="1"/>
    <n v="4"/>
    <x v="0"/>
    <s v="Darrin Van Huff"/>
    <s v="Corporate"/>
    <s v="United States"/>
    <s v="Los Angeles"/>
    <s v="California"/>
    <x v="1"/>
    <x v="1"/>
    <s v="Labels"/>
    <s v="Self-Adhesive Address Labels for Typewriters by Universal"/>
    <n v="14.62"/>
    <n v="2"/>
    <n v="0"/>
    <n v="6.8714000000000004"/>
  </r>
  <r>
    <n v="4"/>
    <d v="2012-10-11T00:00:00"/>
    <n v="2012"/>
    <x v="2"/>
    <x v="2"/>
    <n v="7"/>
    <x v="1"/>
    <s v="Sean O'Donnell"/>
    <s v="Consumer"/>
    <s v="United States"/>
    <s v="Fort Lauderdale"/>
    <s v="Florida"/>
    <x v="0"/>
    <x v="0"/>
    <s v="Tables"/>
    <s v="Bretford CR4500 Series Slim Rectangular Table"/>
    <n v="957.57749999999999"/>
    <n v="5"/>
    <n v="0.45"/>
    <n v="-383.03100000000001"/>
  </r>
  <r>
    <n v="5"/>
    <d v="2012-10-11T00:00:00"/>
    <n v="2012"/>
    <x v="2"/>
    <x v="2"/>
    <n v="7"/>
    <x v="1"/>
    <s v="Sean O'Donnell"/>
    <s v="Consumer"/>
    <s v="United States"/>
    <s v="Fort Lauderdale"/>
    <s v="Florida"/>
    <x v="0"/>
    <x v="1"/>
    <s v="Storage"/>
    <s v="Eldon Fold 'N Roll Cart System"/>
    <n v="22.367999999999999"/>
    <n v="2"/>
    <n v="0.2"/>
    <n v="2.5164"/>
  </r>
  <r>
    <n v="6"/>
    <d v="2011-06-09T00:00:00"/>
    <n v="2011"/>
    <x v="1"/>
    <x v="3"/>
    <n v="5"/>
    <x v="1"/>
    <s v="Brosina Hoffman"/>
    <s v="Consumer"/>
    <s v="United States"/>
    <s v="Los Angeles"/>
    <s v="California"/>
    <x v="1"/>
    <x v="0"/>
    <s v="Furnishings"/>
    <s v="Eldon Expressions Wood and Plastic Desk Accessories, Cherry Wood"/>
    <n v="48.86"/>
    <n v="7"/>
    <n v="0"/>
    <n v="14.1694"/>
  </r>
  <r>
    <n v="7"/>
    <d v="2011-06-09T00:00:00"/>
    <n v="2011"/>
    <x v="1"/>
    <x v="3"/>
    <n v="5"/>
    <x v="1"/>
    <s v="Brosina Hoffman"/>
    <s v="Consumer"/>
    <s v="United States"/>
    <s v="Los Angeles"/>
    <s v="California"/>
    <x v="1"/>
    <x v="1"/>
    <s v="Art"/>
    <s v="Newell 322"/>
    <n v="7.28"/>
    <n v="4"/>
    <n v="0"/>
    <n v="1.9656"/>
  </r>
  <r>
    <n v="8"/>
    <d v="2011-06-09T00:00:00"/>
    <n v="2011"/>
    <x v="1"/>
    <x v="3"/>
    <n v="5"/>
    <x v="1"/>
    <s v="Brosina Hoffman"/>
    <s v="Consumer"/>
    <s v="United States"/>
    <s v="Los Angeles"/>
    <s v="California"/>
    <x v="1"/>
    <x v="2"/>
    <s v="Phones"/>
    <s v="Mitel 5320 IP Phone VoIP phone"/>
    <n v="907.15200000000004"/>
    <n v="6"/>
    <n v="0.2"/>
    <n v="90.715199999999996"/>
  </r>
  <r>
    <n v="9"/>
    <d v="2011-06-09T00:00:00"/>
    <n v="2011"/>
    <x v="1"/>
    <x v="3"/>
    <n v="5"/>
    <x v="1"/>
    <s v="Brosina Hoffman"/>
    <s v="Consumer"/>
    <s v="United States"/>
    <s v="Los Angeles"/>
    <s v="California"/>
    <x v="1"/>
    <x v="1"/>
    <s v="Binders"/>
    <s v="DXL Angle-View Binders with Locking Rings by Samsill"/>
    <n v="18.504000000000001"/>
    <n v="3"/>
    <n v="0.2"/>
    <n v="5.7824999999999998"/>
  </r>
  <r>
    <n v="10"/>
    <d v="2011-06-09T00:00:00"/>
    <n v="2011"/>
    <x v="1"/>
    <x v="3"/>
    <n v="5"/>
    <x v="1"/>
    <s v="Brosina Hoffman"/>
    <s v="Consumer"/>
    <s v="United States"/>
    <s v="Los Angeles"/>
    <s v="California"/>
    <x v="1"/>
    <x v="1"/>
    <s v="Appliances"/>
    <s v="Belkin F5C206VTEL 6 Outlet Surge"/>
    <n v="114.9"/>
    <n v="5"/>
    <n v="0"/>
    <n v="34.47"/>
  </r>
  <r>
    <n v="11"/>
    <d v="2011-06-09T00:00:00"/>
    <n v="2011"/>
    <x v="1"/>
    <x v="3"/>
    <n v="5"/>
    <x v="1"/>
    <s v="Brosina Hoffman"/>
    <s v="Consumer"/>
    <s v="United States"/>
    <s v="Los Angeles"/>
    <s v="California"/>
    <x v="1"/>
    <x v="0"/>
    <s v="Tables"/>
    <s v="Chromcraft Rectangular Conference Tables"/>
    <n v="1706.184"/>
    <n v="9"/>
    <n v="0.2"/>
    <n v="85.309200000000004"/>
  </r>
  <r>
    <n v="12"/>
    <d v="2011-06-09T00:00:00"/>
    <n v="2011"/>
    <x v="1"/>
    <x v="3"/>
    <n v="5"/>
    <x v="1"/>
    <s v="Brosina Hoffman"/>
    <s v="Consumer"/>
    <s v="United States"/>
    <s v="Los Angeles"/>
    <s v="California"/>
    <x v="1"/>
    <x v="2"/>
    <s v="Phones"/>
    <s v="Konftel 250 Conference phone - Charcoal black"/>
    <n v="911.42399999999998"/>
    <n v="4"/>
    <n v="0.2"/>
    <n v="68.356800000000007"/>
  </r>
  <r>
    <n v="13"/>
    <d v="2014-04-16T00:00:00"/>
    <n v="2014"/>
    <x v="3"/>
    <x v="4"/>
    <n v="5"/>
    <x v="1"/>
    <s v="Andrew Allen"/>
    <s v="Consumer"/>
    <s v="United States"/>
    <s v="Concord"/>
    <s v="North Carolina"/>
    <x v="0"/>
    <x v="1"/>
    <s v="Paper"/>
    <s v="Xerox 1967"/>
    <n v="15.552"/>
    <n v="3"/>
    <n v="0.2"/>
    <n v="5.4432"/>
  </r>
  <r>
    <n v="14"/>
    <d v="2013-12-06T00:00:00"/>
    <n v="2013"/>
    <x v="4"/>
    <x v="5"/>
    <n v="5"/>
    <x v="1"/>
    <s v="Irene Maddox"/>
    <s v="Consumer"/>
    <s v="United States"/>
    <s v="Seattle"/>
    <s v="Washington"/>
    <x v="1"/>
    <x v="1"/>
    <s v="Binders"/>
    <s v="Fellowes PB200 Plastic Comb Binding Machine"/>
    <n v="407.976"/>
    <n v="3"/>
    <n v="0.2"/>
    <n v="132.59219999999999"/>
  </r>
  <r>
    <n v="15"/>
    <d v="2012-11-22T00:00:00"/>
    <n v="2012"/>
    <x v="0"/>
    <x v="6"/>
    <n v="4"/>
    <x v="1"/>
    <s v="Harold Pawlan"/>
    <s v="Home Office"/>
    <s v="United States"/>
    <s v="Fort Worth"/>
    <s v="Texas"/>
    <x v="2"/>
    <x v="1"/>
    <s v="Appliances"/>
    <s v="Holmes Replacement Filter for HEPA Air Cleaner, Very Large Room, HEPA Filter"/>
    <n v="68.81"/>
    <n v="5"/>
    <n v="0.8"/>
    <n v="-123.858"/>
  </r>
  <r>
    <n v="16"/>
    <d v="2012-11-22T00:00:00"/>
    <n v="2012"/>
    <x v="0"/>
    <x v="6"/>
    <n v="4"/>
    <x v="1"/>
    <s v="Harold Pawlan"/>
    <s v="Home Office"/>
    <s v="United States"/>
    <s v="Fort Worth"/>
    <s v="Texas"/>
    <x v="2"/>
    <x v="1"/>
    <s v="Binders"/>
    <s v="Storex DuraTech Recycled Plastic Frosted Binders"/>
    <n v="2.544"/>
    <n v="3"/>
    <n v="0.8"/>
    <n v="-3.8159999999999998"/>
  </r>
  <r>
    <n v="17"/>
    <d v="2011-11-11T00:00:00"/>
    <n v="2011"/>
    <x v="0"/>
    <x v="7"/>
    <n v="7"/>
    <x v="1"/>
    <s v="Pete Kriz"/>
    <s v="Consumer"/>
    <s v="United States"/>
    <s v="Madison"/>
    <s v="Wisconsin"/>
    <x v="2"/>
    <x v="1"/>
    <s v="Storage"/>
    <s v="Stur-D-Stor Shelving, Vertical 5-Shelf: 72&quot;H x 36&quot;W x 18 1/2&quot;D"/>
    <n v="665.88"/>
    <n v="6"/>
    <n v="0"/>
    <n v="13.317600000000001"/>
  </r>
  <r>
    <n v="18"/>
    <d v="2011-05-13T00:00:00"/>
    <n v="2011"/>
    <x v="5"/>
    <x v="8"/>
    <n v="2"/>
    <x v="0"/>
    <s v="Alejandro Grove"/>
    <s v="Consumer"/>
    <s v="United States"/>
    <s v="West Jordan"/>
    <s v="Utah"/>
    <x v="1"/>
    <x v="1"/>
    <s v="Storage"/>
    <s v="Fellowes Super Stor/Drawer"/>
    <n v="55.5"/>
    <n v="2"/>
    <n v="0"/>
    <n v="9.99"/>
  </r>
  <r>
    <n v="19"/>
    <d v="2011-08-27T00:00:00"/>
    <n v="2011"/>
    <x v="6"/>
    <x v="9"/>
    <n v="5"/>
    <x v="0"/>
    <s v="Zuschuss Donatelli"/>
    <s v="Consumer"/>
    <s v="United States"/>
    <s v="San Francisco"/>
    <s v="California"/>
    <x v="1"/>
    <x v="1"/>
    <s v="Art"/>
    <s v="Newell 341"/>
    <n v="8.56"/>
    <n v="2"/>
    <n v="0"/>
    <n v="2.4824000000000002"/>
  </r>
  <r>
    <n v="20"/>
    <d v="2011-08-27T00:00:00"/>
    <n v="2011"/>
    <x v="6"/>
    <x v="9"/>
    <n v="5"/>
    <x v="0"/>
    <s v="Zuschuss Donatelli"/>
    <s v="Consumer"/>
    <s v="United States"/>
    <s v="San Francisco"/>
    <s v="California"/>
    <x v="1"/>
    <x v="2"/>
    <s v="Phones"/>
    <s v="Cisco SPA 501G IP Phone"/>
    <n v="213.48"/>
    <n v="3"/>
    <n v="0.2"/>
    <n v="16.010999999999999"/>
  </r>
  <r>
    <n v="21"/>
    <d v="2011-08-27T00:00:00"/>
    <n v="2011"/>
    <x v="6"/>
    <x v="9"/>
    <n v="5"/>
    <x v="0"/>
    <s v="Zuschuss Donatelli"/>
    <s v="Consumer"/>
    <s v="United States"/>
    <s v="San Francisco"/>
    <s v="California"/>
    <x v="1"/>
    <x v="1"/>
    <s v="Binders"/>
    <s v="Wilson Jones Hanging View Binder, White, 1&quot;"/>
    <n v="22.72"/>
    <n v="4"/>
    <n v="0.2"/>
    <n v="7.3840000000000003"/>
  </r>
  <r>
    <n v="22"/>
    <d v="2013-12-10T00:00:00"/>
    <n v="2013"/>
    <x v="4"/>
    <x v="10"/>
    <n v="4"/>
    <x v="1"/>
    <s v="Ken Black"/>
    <s v="Corporate"/>
    <s v="United States"/>
    <s v="Fremont"/>
    <s v="Nebraska"/>
    <x v="2"/>
    <x v="1"/>
    <s v="Art"/>
    <s v="Newell 318"/>
    <n v="19.46"/>
    <n v="7"/>
    <n v="0"/>
    <n v="5.0595999999999997"/>
  </r>
  <r>
    <n v="23"/>
    <d v="2013-12-10T00:00:00"/>
    <n v="2013"/>
    <x v="4"/>
    <x v="10"/>
    <n v="4"/>
    <x v="1"/>
    <s v="Ken Black"/>
    <s v="Corporate"/>
    <s v="United States"/>
    <s v="Fremont"/>
    <s v="Nebraska"/>
    <x v="2"/>
    <x v="1"/>
    <s v="Appliances"/>
    <s v="Acco Six-Outlet Power Strip, 4' Cord Length"/>
    <n v="60.34"/>
    <n v="7"/>
    <n v="0"/>
    <n v="15.6884"/>
  </r>
  <r>
    <n v="24"/>
    <d v="2014-07-17T00:00:00"/>
    <n v="2014"/>
    <x v="7"/>
    <x v="11"/>
    <n v="2"/>
    <x v="0"/>
    <s v="Sandra Flanagan"/>
    <s v="Consumer"/>
    <s v="United States"/>
    <s v="Philadelphia"/>
    <s v="Pennsylvania"/>
    <x v="3"/>
    <x v="0"/>
    <s v="Chairs"/>
    <s v="Global Deluxe Stacking Chair, Gray"/>
    <n v="71.372"/>
    <n v="2"/>
    <n v="0.3"/>
    <n v="-1.0196000000000001"/>
  </r>
  <r>
    <n v="25"/>
    <d v="2012-09-25T00:00:00"/>
    <n v="2012"/>
    <x v="8"/>
    <x v="12"/>
    <n v="5"/>
    <x v="1"/>
    <s v="Emily Burns"/>
    <s v="Consumer"/>
    <s v="United States"/>
    <s v="Orem"/>
    <s v="Utah"/>
    <x v="1"/>
    <x v="0"/>
    <s v="Tables"/>
    <s v="Bretford CR4500 Series Slim Rectangular Table"/>
    <n v="1044.6300000000001"/>
    <n v="3"/>
    <n v="0"/>
    <n v="240.26490000000001"/>
  </r>
  <r>
    <n v="26"/>
    <d v="2013-01-16T00:00:00"/>
    <n v="2013"/>
    <x v="9"/>
    <x v="13"/>
    <n v="4"/>
    <x v="0"/>
    <s v="Eric Hoffmann"/>
    <s v="Consumer"/>
    <s v="United States"/>
    <s v="Los Angeles"/>
    <s v="California"/>
    <x v="1"/>
    <x v="1"/>
    <s v="Binders"/>
    <s v="Wilson Jones Active Use Binders"/>
    <n v="11.648"/>
    <n v="2"/>
    <n v="0.2"/>
    <n v="4.2224000000000004"/>
  </r>
  <r>
    <n v="27"/>
    <d v="2013-01-16T00:00:00"/>
    <n v="2013"/>
    <x v="9"/>
    <x v="13"/>
    <n v="4"/>
    <x v="0"/>
    <s v="Eric Hoffmann"/>
    <s v="Consumer"/>
    <s v="United States"/>
    <s v="Los Angeles"/>
    <s v="California"/>
    <x v="1"/>
    <x v="2"/>
    <s v="Accessories"/>
    <s v="Imation 8GB Mini TravelDrive USB 2.0 Flash Drive"/>
    <n v="90.57"/>
    <n v="3"/>
    <n v="0"/>
    <n v="11.774100000000001"/>
  </r>
  <r>
    <n v="28"/>
    <d v="2012-09-17T00:00:00"/>
    <n v="2012"/>
    <x v="8"/>
    <x v="14"/>
    <n v="4"/>
    <x v="1"/>
    <s v="Tracy Blumstein"/>
    <s v="Consumer"/>
    <s v="United States"/>
    <s v="Philadelphia"/>
    <s v="Pennsylvania"/>
    <x v="3"/>
    <x v="0"/>
    <s v="Bookcases"/>
    <s v="Riverside Palais Royal Lawyers Bookcase, Royale Cherry Finish"/>
    <n v="3083.43"/>
    <n v="7"/>
    <n v="0.5"/>
    <n v="-1665.0522000000001"/>
  </r>
  <r>
    <n v="29"/>
    <d v="2012-09-17T00:00:00"/>
    <n v="2012"/>
    <x v="8"/>
    <x v="14"/>
    <n v="4"/>
    <x v="1"/>
    <s v="Tracy Blumstein"/>
    <s v="Consumer"/>
    <s v="United States"/>
    <s v="Philadelphia"/>
    <s v="Pennsylvania"/>
    <x v="3"/>
    <x v="1"/>
    <s v="Binders"/>
    <s v="Avery Recycled Flexi-View Covers for Binding Systems"/>
    <n v="9.6180000000000003"/>
    <n v="2"/>
    <n v="0.7"/>
    <n v="-7.0532000000000004"/>
  </r>
  <r>
    <n v="30"/>
    <d v="2012-09-17T00:00:00"/>
    <n v="2012"/>
    <x v="8"/>
    <x v="14"/>
    <n v="4"/>
    <x v="1"/>
    <s v="Tracy Blumstein"/>
    <s v="Consumer"/>
    <s v="United States"/>
    <s v="Philadelphia"/>
    <s v="Pennsylvania"/>
    <x v="3"/>
    <x v="0"/>
    <s v="Furnishings"/>
    <s v="Howard Miller 13-3/4&quot; Diameter Brushed Chrome Round Wall Clock"/>
    <n v="124.2"/>
    <n v="3"/>
    <n v="0.2"/>
    <n v="15.525"/>
  </r>
  <r>
    <n v="31"/>
    <d v="2012-09-17T00:00:00"/>
    <n v="2012"/>
    <x v="8"/>
    <x v="14"/>
    <n v="4"/>
    <x v="1"/>
    <s v="Tracy Blumstein"/>
    <s v="Consumer"/>
    <s v="United States"/>
    <s v="Philadelphia"/>
    <s v="Pennsylvania"/>
    <x v="3"/>
    <x v="1"/>
    <s v="Envelopes"/>
    <s v="Poly String Tie Envelopes"/>
    <n v="3.2639999999999998"/>
    <n v="2"/>
    <n v="0.2"/>
    <n v="1.1015999999999999"/>
  </r>
  <r>
    <n v="32"/>
    <d v="2012-09-17T00:00:00"/>
    <n v="2012"/>
    <x v="8"/>
    <x v="14"/>
    <n v="4"/>
    <x v="1"/>
    <s v="Tracy Blumstein"/>
    <s v="Consumer"/>
    <s v="United States"/>
    <s v="Philadelphia"/>
    <s v="Pennsylvania"/>
    <x v="3"/>
    <x v="1"/>
    <s v="Art"/>
    <s v="BOSTON Model 1800 Electric Pencil Sharpeners, Putty/Woodgrain"/>
    <n v="86.304000000000002"/>
    <n v="6"/>
    <n v="0.2"/>
    <n v="9.7091999999999992"/>
  </r>
  <r>
    <n v="33"/>
    <d v="2012-09-17T00:00:00"/>
    <n v="2012"/>
    <x v="8"/>
    <x v="14"/>
    <n v="4"/>
    <x v="1"/>
    <s v="Tracy Blumstein"/>
    <s v="Consumer"/>
    <s v="United States"/>
    <s v="Philadelphia"/>
    <s v="Pennsylvania"/>
    <x v="3"/>
    <x v="1"/>
    <s v="Binders"/>
    <s v="Acco Pressboard Covers with Storage Hooks, 14 7/8&quot; x 11&quot;, Executive Red"/>
    <n v="6.8579999999999997"/>
    <n v="6"/>
    <n v="0.7"/>
    <n v="-5.7149999999999999"/>
  </r>
  <r>
    <n v="34"/>
    <d v="2012-09-17T00:00:00"/>
    <n v="2012"/>
    <x v="8"/>
    <x v="14"/>
    <n v="4"/>
    <x v="1"/>
    <s v="Tracy Blumstein"/>
    <s v="Consumer"/>
    <s v="United States"/>
    <s v="Philadelphia"/>
    <s v="Pennsylvania"/>
    <x v="3"/>
    <x v="1"/>
    <s v="Art"/>
    <s v="Lumber Crayons"/>
    <n v="15.76"/>
    <n v="2"/>
    <n v="0.2"/>
    <n v="3.5459999999999998"/>
  </r>
  <r>
    <n v="35"/>
    <d v="2014-10-20T00:00:00"/>
    <n v="2014"/>
    <x v="2"/>
    <x v="15"/>
    <n v="4"/>
    <x v="0"/>
    <s v="Matt Abelman"/>
    <s v="Home Office"/>
    <s v="United States"/>
    <s v="Houston"/>
    <s v="Texas"/>
    <x v="2"/>
    <x v="1"/>
    <s v="Paper"/>
    <s v="Staples"/>
    <n v="29.472000000000001"/>
    <n v="3"/>
    <n v="0.2"/>
    <n v="9.9467999999999996"/>
  </r>
  <r>
    <n v="36"/>
    <d v="2013-12-09T00:00:00"/>
    <n v="2013"/>
    <x v="4"/>
    <x v="5"/>
    <n v="2"/>
    <x v="2"/>
    <s v="Gene Hale"/>
    <s v="Corporate"/>
    <s v="United States"/>
    <s v="Richardson"/>
    <s v="Texas"/>
    <x v="2"/>
    <x v="2"/>
    <s v="Phones"/>
    <s v="GE 30524EE4"/>
    <n v="1097.5440000000001"/>
    <n v="7"/>
    <n v="0.2"/>
    <n v="123.47369999999999"/>
  </r>
  <r>
    <n v="37"/>
    <d v="2013-12-09T00:00:00"/>
    <n v="2013"/>
    <x v="4"/>
    <x v="5"/>
    <n v="2"/>
    <x v="2"/>
    <s v="Gene Hale"/>
    <s v="Corporate"/>
    <s v="United States"/>
    <s v="Richardson"/>
    <s v="Texas"/>
    <x v="2"/>
    <x v="0"/>
    <s v="Furnishings"/>
    <s v="Electrix Architect's Clamp-On Swing Arm Lamp, Black"/>
    <n v="190.92"/>
    <n v="5"/>
    <n v="0.6"/>
    <n v="-147.96299999999999"/>
  </r>
  <r>
    <n v="38"/>
    <d v="2012-12-27T00:00:00"/>
    <n v="2012"/>
    <x v="4"/>
    <x v="16"/>
    <n v="4"/>
    <x v="1"/>
    <s v="Steve Nguyen"/>
    <s v="Home Office"/>
    <s v="United States"/>
    <s v="Houston"/>
    <s v="Texas"/>
    <x v="2"/>
    <x v="1"/>
    <s v="Envelopes"/>
    <s v="#10-4 1/8&quot; x 9 1/2&quot; Premium Diagonal Seam Envelopes"/>
    <n v="113.328"/>
    <n v="9"/>
    <n v="0.2"/>
    <n v="35.414999999999999"/>
  </r>
  <r>
    <n v="39"/>
    <d v="2012-12-27T00:00:00"/>
    <n v="2012"/>
    <x v="4"/>
    <x v="16"/>
    <n v="4"/>
    <x v="1"/>
    <s v="Steve Nguyen"/>
    <s v="Home Office"/>
    <s v="United States"/>
    <s v="Houston"/>
    <s v="Texas"/>
    <x v="2"/>
    <x v="0"/>
    <s v="Bookcases"/>
    <s v="Atlantic Metals Mobile 3-Shelf Bookcases, Custom Colors"/>
    <n v="532.39919999999995"/>
    <n v="3"/>
    <n v="0.32"/>
    <n v="-46.976399999999998"/>
  </r>
  <r>
    <n v="40"/>
    <d v="2012-12-27T00:00:00"/>
    <n v="2012"/>
    <x v="4"/>
    <x v="16"/>
    <n v="4"/>
    <x v="1"/>
    <s v="Steve Nguyen"/>
    <s v="Home Office"/>
    <s v="United States"/>
    <s v="Houston"/>
    <s v="Texas"/>
    <x v="2"/>
    <x v="0"/>
    <s v="Chairs"/>
    <s v="Global Fabric Manager's Chair, Dark Gray"/>
    <n v="212.05799999999999"/>
    <n v="3"/>
    <n v="0.3"/>
    <n v="-15.147"/>
  </r>
  <r>
    <n v="41"/>
    <d v="2012-12-27T00:00:00"/>
    <n v="2012"/>
    <x v="4"/>
    <x v="16"/>
    <n v="4"/>
    <x v="1"/>
    <s v="Steve Nguyen"/>
    <s v="Home Office"/>
    <s v="United States"/>
    <s v="Houston"/>
    <s v="Texas"/>
    <x v="2"/>
    <x v="2"/>
    <s v="Phones"/>
    <s v="Plantronics HL10 Handset Lifter"/>
    <n v="371.16800000000001"/>
    <n v="4"/>
    <n v="0.2"/>
    <n v="41.756399999999999"/>
  </r>
  <r>
    <n v="42"/>
    <d v="2014-09-11T00:00:00"/>
    <n v="2014"/>
    <x v="8"/>
    <x v="17"/>
    <n v="5"/>
    <x v="1"/>
    <s v="Linda Cazamias"/>
    <s v="Corporate"/>
    <s v="United States"/>
    <s v="Naperville"/>
    <s v="Illinois"/>
    <x v="2"/>
    <x v="2"/>
    <s v="Phones"/>
    <s v="Panasonic Kx-TS550"/>
    <n v="147.16800000000001"/>
    <n v="4"/>
    <n v="0.2"/>
    <n v="16.5564"/>
  </r>
  <r>
    <n v="43"/>
    <d v="2013-07-18T00:00:00"/>
    <n v="2013"/>
    <x v="7"/>
    <x v="18"/>
    <n v="5"/>
    <x v="1"/>
    <s v="Ruben Ausman"/>
    <s v="Corporate"/>
    <s v="United States"/>
    <s v="Los Angeles"/>
    <s v="California"/>
    <x v="1"/>
    <x v="1"/>
    <s v="Storage"/>
    <s v="Eldon Base for stackable storage shelf, platinum"/>
    <n v="77.88"/>
    <n v="2"/>
    <n v="0"/>
    <n v="3.8940000000000001"/>
  </r>
  <r>
    <n v="44"/>
    <d v="2014-09-20T00:00:00"/>
    <n v="2014"/>
    <x v="8"/>
    <x v="19"/>
    <n v="4"/>
    <x v="1"/>
    <s v="Erin Smith"/>
    <s v="Corporate"/>
    <s v="United States"/>
    <s v="Melbourne"/>
    <s v="Florida"/>
    <x v="0"/>
    <x v="1"/>
    <s v="Storage"/>
    <s v="Advantus 10-Drawer Portable Organizer, Chrome Metal Frame, Smoke Drawers"/>
    <n v="95.616"/>
    <n v="2"/>
    <n v="0.2"/>
    <n v="9.5616000000000003"/>
  </r>
  <r>
    <n v="45"/>
    <d v="2013-03-12T00:00:00"/>
    <n v="2013"/>
    <x v="10"/>
    <x v="20"/>
    <n v="2"/>
    <x v="2"/>
    <s v="Odella Nelson"/>
    <s v="Corporate"/>
    <s v="United States"/>
    <s v="Eagan"/>
    <s v="Minnesota"/>
    <x v="2"/>
    <x v="2"/>
    <s v="Accessories"/>
    <s v="Verbatim 25 GB 6x Blu-ray Single Layer Recordable Disc, 25/Pack"/>
    <n v="45.98"/>
    <n v="2"/>
    <n v="0"/>
    <n v="19.7714"/>
  </r>
  <r>
    <n v="46"/>
    <d v="2013-03-12T00:00:00"/>
    <n v="2013"/>
    <x v="10"/>
    <x v="20"/>
    <n v="2"/>
    <x v="2"/>
    <s v="Odella Nelson"/>
    <s v="Corporate"/>
    <s v="United States"/>
    <s v="Eagan"/>
    <s v="Minnesota"/>
    <x v="2"/>
    <x v="1"/>
    <s v="Binders"/>
    <s v="Wilson Jones Leather-Like Binders with DublLock Round Rings"/>
    <n v="17.46"/>
    <n v="2"/>
    <n v="0"/>
    <n v="8.2062000000000008"/>
  </r>
  <r>
    <n v="47"/>
    <d v="2011-10-20T00:00:00"/>
    <n v="2011"/>
    <x v="2"/>
    <x v="21"/>
    <n v="5"/>
    <x v="0"/>
    <s v="Patrick O'Donnell"/>
    <s v="Consumer"/>
    <s v="United States"/>
    <s v="Westland"/>
    <s v="Michigan"/>
    <x v="2"/>
    <x v="1"/>
    <s v="Storage"/>
    <s v="Gould Plastics 9-Pocket Panel Bin, 18-3/8w x 5-1/4d x 20-1/2h, Black"/>
    <n v="211.96"/>
    <n v="4"/>
    <n v="0"/>
    <n v="8.4784000000000006"/>
  </r>
  <r>
    <n v="48"/>
    <d v="2013-06-21T00:00:00"/>
    <n v="2013"/>
    <x v="1"/>
    <x v="22"/>
    <n v="5"/>
    <x v="1"/>
    <s v="Lena Hernandez"/>
    <s v="Consumer"/>
    <s v="United States"/>
    <s v="Dover"/>
    <s v="Delaware"/>
    <x v="3"/>
    <x v="2"/>
    <s v="Accessories"/>
    <s v="Imation 8gb Micro Traveldrive Usb 2.0 Flash Drive"/>
    <n v="45"/>
    <n v="3"/>
    <n v="0"/>
    <n v="4.95"/>
  </r>
  <r>
    <n v="49"/>
    <d v="2013-06-21T00:00:00"/>
    <n v="2013"/>
    <x v="1"/>
    <x v="22"/>
    <n v="5"/>
    <x v="1"/>
    <s v="Lena Hernandez"/>
    <s v="Consumer"/>
    <s v="United States"/>
    <s v="Dover"/>
    <s v="Delaware"/>
    <x v="3"/>
    <x v="2"/>
    <s v="Phones"/>
    <s v="LF Elite 3D Dazzle Designer Hard Case Cover, Lf Stylus Pen and Wiper For Apple Iphone 5c Mini Lite"/>
    <n v="21.8"/>
    <n v="2"/>
    <n v="0"/>
    <n v="6.1040000000000001"/>
  </r>
  <r>
    <n v="50"/>
    <d v="2012-04-18T00:00:00"/>
    <n v="2012"/>
    <x v="3"/>
    <x v="23"/>
    <n v="4"/>
    <x v="1"/>
    <s v="Darren Powers"/>
    <s v="Consumer"/>
    <s v="United States"/>
    <s v="New Albany"/>
    <s v="Indiana"/>
    <x v="2"/>
    <x v="1"/>
    <s v="Binders"/>
    <s v="C-Line Peel &amp; Stick Add-On Filing Pockets, 8-3/4 x 5-1/8, 10/Pack"/>
    <n v="38.22"/>
    <n v="6"/>
    <n v="0"/>
    <n v="17.9634"/>
  </r>
  <r>
    <n v="51"/>
    <d v="2012-04-18T00:00:00"/>
    <n v="2012"/>
    <x v="3"/>
    <x v="23"/>
    <n v="4"/>
    <x v="1"/>
    <s v="Darren Powers"/>
    <s v="Consumer"/>
    <s v="United States"/>
    <s v="New Albany"/>
    <s v="Indiana"/>
    <x v="2"/>
    <x v="1"/>
    <s v="Labels"/>
    <s v="Avery 485"/>
    <n v="75.180000000000007"/>
    <n v="6"/>
    <n v="0"/>
    <n v="35.334600000000002"/>
  </r>
  <r>
    <n v="52"/>
    <d v="2012-04-18T00:00:00"/>
    <n v="2012"/>
    <x v="3"/>
    <x v="23"/>
    <n v="4"/>
    <x v="1"/>
    <s v="Darren Powers"/>
    <s v="Consumer"/>
    <s v="United States"/>
    <s v="New Albany"/>
    <s v="Indiana"/>
    <x v="2"/>
    <x v="0"/>
    <s v="Furnishings"/>
    <s v="Longer-Life Soft White Bulbs"/>
    <n v="6.16"/>
    <n v="2"/>
    <n v="0"/>
    <n v="2.9567999999999999"/>
  </r>
  <r>
    <n v="53"/>
    <d v="2012-04-18T00:00:00"/>
    <n v="2012"/>
    <x v="3"/>
    <x v="23"/>
    <n v="4"/>
    <x v="1"/>
    <s v="Darren Powers"/>
    <s v="Consumer"/>
    <s v="United States"/>
    <s v="New Albany"/>
    <s v="Indiana"/>
    <x v="2"/>
    <x v="0"/>
    <s v="Chairs"/>
    <s v="Global Leather Task Chair, Black"/>
    <n v="89.99"/>
    <n v="1"/>
    <n v="0"/>
    <n v="17.098099999999999"/>
  </r>
  <r>
    <n v="54"/>
    <d v="2013-12-12T00:00:00"/>
    <n v="2013"/>
    <x v="4"/>
    <x v="24"/>
    <n v="6"/>
    <x v="1"/>
    <s v="Janet Molinari"/>
    <s v="Corporate"/>
    <s v="United States"/>
    <s v="New York City"/>
    <s v="New York"/>
    <x v="3"/>
    <x v="1"/>
    <s v="Fasteners"/>
    <s v="Advantus Push Pins"/>
    <n v="15.26"/>
    <n v="7"/>
    <n v="0"/>
    <n v="6.2565999999999997"/>
  </r>
  <r>
    <n v="55"/>
    <d v="2013-12-12T00:00:00"/>
    <n v="2013"/>
    <x v="4"/>
    <x v="24"/>
    <n v="6"/>
    <x v="1"/>
    <s v="Janet Molinari"/>
    <s v="Corporate"/>
    <s v="United States"/>
    <s v="New York City"/>
    <s v="New York"/>
    <x v="3"/>
    <x v="2"/>
    <s v="Phones"/>
    <s v="AT&amp;T CL83451 4-Handset Telephone"/>
    <n v="1029.95"/>
    <n v="5"/>
    <n v="0"/>
    <n v="298.68549999999999"/>
  </r>
  <r>
    <n v="56"/>
    <d v="2013-06-18T00:00:00"/>
    <n v="2013"/>
    <x v="1"/>
    <x v="25"/>
    <n v="1"/>
    <x v="2"/>
    <s v="Ted Butterfield"/>
    <s v="Consumer"/>
    <s v="United States"/>
    <s v="Troy"/>
    <s v="New York"/>
    <x v="3"/>
    <x v="1"/>
    <s v="Storage"/>
    <s v="Home/Office Personal File Carts"/>
    <n v="208.56"/>
    <n v="6"/>
    <n v="0"/>
    <n v="52.14"/>
  </r>
  <r>
    <n v="57"/>
    <d v="2013-06-18T00:00:00"/>
    <n v="2013"/>
    <x v="1"/>
    <x v="25"/>
    <n v="1"/>
    <x v="2"/>
    <s v="Ted Butterfield"/>
    <s v="Consumer"/>
    <s v="United States"/>
    <s v="Troy"/>
    <s v="New York"/>
    <x v="3"/>
    <x v="1"/>
    <s v="Paper"/>
    <s v="Xerox 232"/>
    <n v="32.4"/>
    <n v="5"/>
    <n v="0"/>
    <n v="15.552"/>
  </r>
  <r>
    <n v="58"/>
    <d v="2013-06-18T00:00:00"/>
    <n v="2013"/>
    <x v="1"/>
    <x v="25"/>
    <n v="1"/>
    <x v="2"/>
    <s v="Ted Butterfield"/>
    <s v="Consumer"/>
    <s v="United States"/>
    <s v="Troy"/>
    <s v="New York"/>
    <x v="3"/>
    <x v="0"/>
    <s v="Chairs"/>
    <s v="Novimex Turbo Task Chair"/>
    <n v="319.41000000000003"/>
    <n v="5"/>
    <n v="0.1"/>
    <n v="7.0979999999999999"/>
  </r>
  <r>
    <n v="59"/>
    <d v="2013-06-18T00:00:00"/>
    <n v="2013"/>
    <x v="1"/>
    <x v="25"/>
    <n v="1"/>
    <x v="2"/>
    <s v="Ted Butterfield"/>
    <s v="Consumer"/>
    <s v="United States"/>
    <s v="Troy"/>
    <s v="New York"/>
    <x v="3"/>
    <x v="1"/>
    <s v="Paper"/>
    <s v="Array Parchment Paper, Assorted Colors"/>
    <n v="14.56"/>
    <n v="2"/>
    <n v="0"/>
    <n v="6.9888000000000003"/>
  </r>
  <r>
    <n v="60"/>
    <d v="2013-06-18T00:00:00"/>
    <n v="2013"/>
    <x v="1"/>
    <x v="25"/>
    <n v="1"/>
    <x v="2"/>
    <s v="Ted Butterfield"/>
    <s v="Consumer"/>
    <s v="United States"/>
    <s v="Troy"/>
    <s v="New York"/>
    <x v="3"/>
    <x v="2"/>
    <s v="Accessories"/>
    <s v="Imation 8gb Micro Traveldrive Usb 2.0 Flash Drive"/>
    <n v="30"/>
    <n v="2"/>
    <n v="0"/>
    <n v="3.3"/>
  </r>
  <r>
    <n v="61"/>
    <d v="2013-06-18T00:00:00"/>
    <n v="2013"/>
    <x v="1"/>
    <x v="25"/>
    <n v="1"/>
    <x v="2"/>
    <s v="Ted Butterfield"/>
    <s v="Consumer"/>
    <s v="United States"/>
    <s v="Troy"/>
    <s v="New York"/>
    <x v="3"/>
    <x v="1"/>
    <s v="Binders"/>
    <s v="Plastic Binding Combs"/>
    <n v="48.48"/>
    <n v="4"/>
    <n v="0.2"/>
    <n v="16.361999999999998"/>
  </r>
  <r>
    <n v="62"/>
    <d v="2013-06-18T00:00:00"/>
    <n v="2013"/>
    <x v="1"/>
    <x v="25"/>
    <n v="1"/>
    <x v="2"/>
    <s v="Ted Butterfield"/>
    <s v="Consumer"/>
    <s v="United States"/>
    <s v="Troy"/>
    <s v="New York"/>
    <x v="3"/>
    <x v="1"/>
    <s v="Art"/>
    <s v="Prang Dustless Chalk Sticks"/>
    <n v="1.68"/>
    <n v="1"/>
    <n v="0"/>
    <n v="0.84"/>
  </r>
  <r>
    <n v="63"/>
    <d v="2012-11-24T00:00:00"/>
    <n v="2012"/>
    <x v="0"/>
    <x v="26"/>
    <n v="6"/>
    <x v="1"/>
    <s v="Kunst Miller"/>
    <s v="Consumer"/>
    <s v="United States"/>
    <s v="Los Angeles"/>
    <s v="California"/>
    <x v="1"/>
    <x v="2"/>
    <s v="Accessories"/>
    <s v="Verbatim 25 GB 6x Blu-ray Single Layer Recordable Disc, 3/Pack"/>
    <n v="13.98"/>
    <n v="2"/>
    <n v="0"/>
    <n v="6.1512000000000002"/>
  </r>
  <r>
    <n v="64"/>
    <d v="2012-11-24T00:00:00"/>
    <n v="2012"/>
    <x v="0"/>
    <x v="26"/>
    <n v="6"/>
    <x v="1"/>
    <s v="Kunst Miller"/>
    <s v="Consumer"/>
    <s v="United States"/>
    <s v="Los Angeles"/>
    <s v="California"/>
    <x v="1"/>
    <x v="1"/>
    <s v="Binders"/>
    <s v="Acco PRESSTEX Data Binder with Storage Hooks, Dark Blue, 14 7/8&quot; X 11&quot;"/>
    <n v="25.824000000000002"/>
    <n v="6"/>
    <n v="0.2"/>
    <n v="9.3612000000000002"/>
  </r>
  <r>
    <n v="65"/>
    <d v="2012-11-24T00:00:00"/>
    <n v="2012"/>
    <x v="0"/>
    <x v="26"/>
    <n v="6"/>
    <x v="1"/>
    <s v="Kunst Miller"/>
    <s v="Consumer"/>
    <s v="United States"/>
    <s v="Los Angeles"/>
    <s v="California"/>
    <x v="1"/>
    <x v="1"/>
    <s v="Paper"/>
    <s v="Xerox 1943"/>
    <n v="146.72999999999999"/>
    <n v="3"/>
    <n v="0"/>
    <n v="68.963099999999997"/>
  </r>
  <r>
    <n v="66"/>
    <d v="2012-11-24T00:00:00"/>
    <n v="2012"/>
    <x v="0"/>
    <x v="26"/>
    <n v="6"/>
    <x v="1"/>
    <s v="Kunst Miller"/>
    <s v="Consumer"/>
    <s v="United States"/>
    <s v="Los Angeles"/>
    <s v="California"/>
    <x v="1"/>
    <x v="0"/>
    <s v="Furnishings"/>
    <s v="Luxo Economy Swing Arm Lamp"/>
    <n v="79.760000000000005"/>
    <n v="4"/>
    <n v="0"/>
    <n v="22.332799999999999"/>
  </r>
  <r>
    <n v="67"/>
    <d v="2012-04-30T00:00:00"/>
    <n v="2012"/>
    <x v="3"/>
    <x v="27"/>
    <n v="5"/>
    <x v="1"/>
    <s v="Paul Stevenson"/>
    <s v="Home Office"/>
    <s v="United States"/>
    <s v="Chicago"/>
    <s v="Illinois"/>
    <x v="2"/>
    <x v="0"/>
    <s v="Chairs"/>
    <s v="Global Value Mid-Back Manager's Chair, Gray"/>
    <n v="213.11500000000001"/>
    <n v="5"/>
    <n v="0.3"/>
    <n v="-15.2225"/>
  </r>
  <r>
    <n v="68"/>
    <d v="2011-12-05T00:00:00"/>
    <n v="2011"/>
    <x v="4"/>
    <x v="28"/>
    <n v="5"/>
    <x v="1"/>
    <s v="Brendan Sweed"/>
    <s v="Corporate"/>
    <s v="United States"/>
    <s v="Gilbert"/>
    <s v="Arizona"/>
    <x v="1"/>
    <x v="1"/>
    <s v="Art"/>
    <s v="Hunt BOSTON Model 1606 High-Volume Electric Pencil Sharpener, Beige"/>
    <n v="1113.0239999999999"/>
    <n v="8"/>
    <n v="0.2"/>
    <n v="111.30240000000001"/>
  </r>
  <r>
    <n v="69"/>
    <d v="2011-12-05T00:00:00"/>
    <n v="2011"/>
    <x v="4"/>
    <x v="28"/>
    <n v="5"/>
    <x v="1"/>
    <s v="Brendan Sweed"/>
    <s v="Corporate"/>
    <s v="United States"/>
    <s v="Gilbert"/>
    <s v="Arizona"/>
    <x v="1"/>
    <x v="2"/>
    <s v="Phones"/>
    <s v="netTALK DUO VoIP Telephone Service"/>
    <n v="167.96799999999999"/>
    <n v="4"/>
    <n v="0.2"/>
    <n v="62.988"/>
  </r>
  <r>
    <n v="70"/>
    <d v="2013-06-05T00:00:00"/>
    <n v="2013"/>
    <x v="1"/>
    <x v="29"/>
    <n v="2"/>
    <x v="2"/>
    <s v="Karen Daniels"/>
    <s v="Consumer"/>
    <s v="United States"/>
    <s v="Springfield"/>
    <s v="Virginia"/>
    <x v="0"/>
    <x v="1"/>
    <s v="Paper"/>
    <s v="Snap-A-Way Black Print Carbonless Ruled Speed Letter, Triplicate"/>
    <n v="75.88"/>
    <n v="2"/>
    <n v="0"/>
    <n v="35.663600000000002"/>
  </r>
  <r>
    <n v="71"/>
    <d v="2013-09-19T00:00:00"/>
    <n v="2013"/>
    <x v="8"/>
    <x v="30"/>
    <n v="5"/>
    <x v="1"/>
    <s v="Henry MacAllister"/>
    <s v="Consumer"/>
    <s v="United States"/>
    <s v="New York City"/>
    <s v="New York"/>
    <x v="3"/>
    <x v="1"/>
    <s v="Binders"/>
    <s v="Avery Binding System Hidden Tab Executive Style Index Sets"/>
    <n v="4.6159999999999997"/>
    <n v="1"/>
    <n v="0.2"/>
    <n v="1.7310000000000001"/>
  </r>
  <r>
    <n v="72"/>
    <d v="2014-09-15T00:00:00"/>
    <n v="2014"/>
    <x v="8"/>
    <x v="31"/>
    <n v="3"/>
    <x v="0"/>
    <s v="Tracy Blumstein"/>
    <s v="Consumer"/>
    <s v="United States"/>
    <s v="Jackson"/>
    <s v="Michigan"/>
    <x v="2"/>
    <x v="1"/>
    <s v="Paper"/>
    <s v="Telephone Message Books with Fax/Mobile Section, 5 1/2&quot; x 3 3/16&quot;"/>
    <n v="19.05"/>
    <n v="3"/>
    <n v="0"/>
    <n v="8.7629999999999999"/>
  </r>
  <r>
    <n v="73"/>
    <d v="2012-04-26T00:00:00"/>
    <n v="2012"/>
    <x v="3"/>
    <x v="32"/>
    <n v="6"/>
    <x v="1"/>
    <s v="Joel Eaton"/>
    <s v="Consumer"/>
    <s v="United States"/>
    <s v="Memphis"/>
    <s v="Tennessee"/>
    <x v="0"/>
    <x v="0"/>
    <s v="Chairs"/>
    <s v="High-Back Leather Manager's Chair"/>
    <n v="831.93600000000004"/>
    <n v="8"/>
    <n v="0.2"/>
    <n v="-114.3912"/>
  </r>
  <r>
    <n v="74"/>
    <d v="2012-04-26T00:00:00"/>
    <n v="2012"/>
    <x v="3"/>
    <x v="32"/>
    <n v="6"/>
    <x v="1"/>
    <s v="Joel Eaton"/>
    <s v="Consumer"/>
    <s v="United States"/>
    <s v="Memphis"/>
    <s v="Tennessee"/>
    <x v="0"/>
    <x v="0"/>
    <s v="Furnishings"/>
    <s v="Tenex Traditional Chairmats for Medium Pile Carpet, Standard Lip, 36&quot; x 48&quot;"/>
    <n v="97.04"/>
    <n v="2"/>
    <n v="0.2"/>
    <n v="1.2130000000000001"/>
  </r>
  <r>
    <n v="75"/>
    <d v="2012-04-26T00:00:00"/>
    <n v="2012"/>
    <x v="3"/>
    <x v="32"/>
    <n v="6"/>
    <x v="1"/>
    <s v="Joel Eaton"/>
    <s v="Consumer"/>
    <s v="United States"/>
    <s v="Memphis"/>
    <s v="Tennessee"/>
    <x v="0"/>
    <x v="1"/>
    <s v="Storage"/>
    <s v="Safco Industrial Wire Shelving System"/>
    <n v="72.784000000000006"/>
    <n v="1"/>
    <n v="0.2"/>
    <n v="-18.196000000000002"/>
  </r>
  <r>
    <n v="76"/>
    <d v="2014-12-10T00:00:00"/>
    <n v="2014"/>
    <x v="4"/>
    <x v="33"/>
    <n v="2"/>
    <x v="2"/>
    <s v="Ken Brennan"/>
    <s v="Corporate"/>
    <s v="United States"/>
    <s v="Houston"/>
    <s v="Texas"/>
    <x v="2"/>
    <x v="1"/>
    <s v="Binders"/>
    <s v="Economy Binders"/>
    <n v="1.248"/>
    <n v="3"/>
    <n v="0.8"/>
    <n v="-1.9343999999999999"/>
  </r>
  <r>
    <n v="77"/>
    <d v="2014-12-10T00:00:00"/>
    <n v="2014"/>
    <x v="4"/>
    <x v="33"/>
    <n v="2"/>
    <x v="2"/>
    <s v="Ken Brennan"/>
    <s v="Corporate"/>
    <s v="United States"/>
    <s v="Houston"/>
    <s v="Texas"/>
    <x v="2"/>
    <x v="0"/>
    <s v="Furnishings"/>
    <s v="6&quot; Cubicle Wall Clock, Black"/>
    <n v="9.7080000000000002"/>
    <n v="3"/>
    <n v="0.6"/>
    <n v="-5.8247999999999998"/>
  </r>
  <r>
    <n v="78"/>
    <d v="2014-12-10T00:00:00"/>
    <n v="2014"/>
    <x v="4"/>
    <x v="33"/>
    <n v="2"/>
    <x v="2"/>
    <s v="Ken Brennan"/>
    <s v="Corporate"/>
    <s v="United States"/>
    <s v="Houston"/>
    <s v="Texas"/>
    <x v="2"/>
    <x v="1"/>
    <s v="Storage"/>
    <s v="SimpliFile Personal File, Black Granite, 15w x 6-15/16d x 11-1/4h"/>
    <n v="27.24"/>
    <n v="3"/>
    <n v="0.2"/>
    <n v="2.7240000000000002"/>
  </r>
  <r>
    <n v="79"/>
    <d v="2011-11-26T00:00:00"/>
    <n v="2011"/>
    <x v="0"/>
    <x v="34"/>
    <n v="5"/>
    <x v="0"/>
    <s v="Joel Eaton"/>
    <s v="Consumer"/>
    <s v="United States"/>
    <s v="Houston"/>
    <s v="Texas"/>
    <x v="2"/>
    <x v="0"/>
    <s v="Furnishings"/>
    <s v="Eldon Expressions Desk Accessory, Wood Pencil Holder, Oak"/>
    <n v="19.3"/>
    <n v="5"/>
    <n v="0.6"/>
    <n v="-14.475"/>
  </r>
  <r>
    <n v="80"/>
    <d v="2013-06-13T00:00:00"/>
    <n v="2013"/>
    <x v="1"/>
    <x v="35"/>
    <n v="3"/>
    <x v="2"/>
    <s v="Stewart Carmichael"/>
    <s v="Corporate"/>
    <s v="United States"/>
    <s v="Decatur"/>
    <s v="Alabama"/>
    <x v="0"/>
    <x v="1"/>
    <s v="Appliances"/>
    <s v="1.7 Cubic Foot Compact &quot;Cube&quot; Office Refrigerators"/>
    <n v="208.16"/>
    <n v="1"/>
    <n v="0"/>
    <n v="56.203200000000002"/>
  </r>
  <r>
    <n v="81"/>
    <d v="2013-06-13T00:00:00"/>
    <n v="2013"/>
    <x v="1"/>
    <x v="35"/>
    <n v="3"/>
    <x v="2"/>
    <s v="Stewart Carmichael"/>
    <s v="Corporate"/>
    <s v="United States"/>
    <s v="Decatur"/>
    <s v="Alabama"/>
    <x v="0"/>
    <x v="1"/>
    <s v="Binders"/>
    <s v="Avery Heavy-Duty EZD  Binder With Locking Rings"/>
    <n v="16.739999999999998"/>
    <n v="3"/>
    <n v="0"/>
    <n v="8.0351999999999997"/>
  </r>
  <r>
    <n v="82"/>
    <d v="2011-10-12T00:00:00"/>
    <n v="2011"/>
    <x v="2"/>
    <x v="36"/>
    <n v="4"/>
    <x v="1"/>
    <s v="Duane Noonan"/>
    <s v="Consumer"/>
    <s v="United States"/>
    <s v="San Francisco"/>
    <s v="California"/>
    <x v="1"/>
    <x v="1"/>
    <s v="Art"/>
    <s v="Premium Writing Pencils, Soft, #2 by Central Association for the Blind"/>
    <n v="14.9"/>
    <n v="5"/>
    <n v="0"/>
    <n v="4.1719999999999997"/>
  </r>
  <r>
    <n v="83"/>
    <d v="2011-10-12T00:00:00"/>
    <n v="2011"/>
    <x v="2"/>
    <x v="36"/>
    <n v="4"/>
    <x v="1"/>
    <s v="Duane Noonan"/>
    <s v="Consumer"/>
    <s v="United States"/>
    <s v="San Francisco"/>
    <s v="California"/>
    <x v="1"/>
    <x v="1"/>
    <s v="Storage"/>
    <s v="Sortfiler Multipurpose Personal File Organizer, Black"/>
    <n v="21.39"/>
    <n v="1"/>
    <n v="0"/>
    <n v="6.2031000000000001"/>
  </r>
  <r>
    <n v="84"/>
    <d v="2012-09-03T00:00:00"/>
    <n v="2012"/>
    <x v="8"/>
    <x v="37"/>
    <n v="5"/>
    <x v="1"/>
    <s v="Julie Creighton"/>
    <s v="Corporate"/>
    <s v="United States"/>
    <s v="Durham"/>
    <s v="North Carolina"/>
    <x v="0"/>
    <x v="1"/>
    <s v="Envelopes"/>
    <s v="Jet-Pak Recycled Peel 'N' Seal Padded Mailers"/>
    <n v="200.98400000000001"/>
    <n v="7"/>
    <n v="0.2"/>
    <n v="62.807499999999997"/>
  </r>
  <r>
    <n v="85"/>
    <d v="2014-11-14T00:00:00"/>
    <n v="2014"/>
    <x v="0"/>
    <x v="38"/>
    <n v="3"/>
    <x v="2"/>
    <s v="Christopher Schild"/>
    <s v="Home Office"/>
    <s v="United States"/>
    <s v="Chicago"/>
    <s v="Illinois"/>
    <x v="2"/>
    <x v="1"/>
    <s v="Storage"/>
    <s v="Safco Industrial Wire Shelving"/>
    <n v="230.376"/>
    <n v="3"/>
    <n v="0.2"/>
    <n v="-48.954900000000002"/>
  </r>
  <r>
    <n v="86"/>
    <d v="2014-05-29T00:00:00"/>
    <n v="2014"/>
    <x v="5"/>
    <x v="39"/>
    <n v="2"/>
    <x v="0"/>
    <s v="Patrick O'Donnell"/>
    <s v="Consumer"/>
    <s v="United States"/>
    <s v="Columbia"/>
    <s v="South Carolina"/>
    <x v="0"/>
    <x v="0"/>
    <s v="Chairs"/>
    <s v="Novimex Swivel Fabric Task Chair"/>
    <n v="301.95999999999998"/>
    <n v="2"/>
    <n v="0"/>
    <n v="33.215600000000002"/>
  </r>
  <r>
    <n v="87"/>
    <d v="2014-10-27T00:00:00"/>
    <n v="2014"/>
    <x v="2"/>
    <x v="40"/>
    <n v="7"/>
    <x v="1"/>
    <s v="Paul Gonzalez"/>
    <s v="Consumer"/>
    <s v="United States"/>
    <s v="Rochester"/>
    <s v="Minnesota"/>
    <x v="2"/>
    <x v="2"/>
    <s v="Accessories"/>
    <s v="Logitech LS21 Speaker System - PC Multimedia - 2.1-CH - Wired"/>
    <n v="19.989999999999998"/>
    <n v="1"/>
    <n v="0"/>
    <n v="6.7965999999999998"/>
  </r>
  <r>
    <n v="88"/>
    <d v="2014-10-27T00:00:00"/>
    <n v="2014"/>
    <x v="2"/>
    <x v="40"/>
    <n v="7"/>
    <x v="1"/>
    <s v="Paul Gonzalez"/>
    <s v="Consumer"/>
    <s v="United States"/>
    <s v="Rochester"/>
    <s v="Minnesota"/>
    <x v="2"/>
    <x v="1"/>
    <s v="Labels"/>
    <s v="Avery 511"/>
    <n v="6.16"/>
    <n v="2"/>
    <n v="0"/>
    <n v="2.9567999999999999"/>
  </r>
  <r>
    <n v="89"/>
    <d v="2013-04-06T00:00:00"/>
    <n v="2013"/>
    <x v="3"/>
    <x v="41"/>
    <n v="5"/>
    <x v="0"/>
    <s v="Gary Mitchum"/>
    <s v="Home Office"/>
    <s v="United States"/>
    <s v="Houston"/>
    <s v="Texas"/>
    <x v="2"/>
    <x v="1"/>
    <s v="Storage"/>
    <s v="Eldon Portable Mobile Manager"/>
    <n v="158.36799999999999"/>
    <n v="7"/>
    <n v="0.2"/>
    <n v="13.857200000000001"/>
  </r>
  <r>
    <n v="90"/>
    <d v="2013-09-18T00:00:00"/>
    <n v="2013"/>
    <x v="8"/>
    <x v="42"/>
    <n v="5"/>
    <x v="1"/>
    <s v="Jim Sink"/>
    <s v="Corporate"/>
    <s v="United States"/>
    <s v="Los Angeles"/>
    <s v="California"/>
    <x v="1"/>
    <x v="1"/>
    <s v="Art"/>
    <s v="Turquoise Lead Holder with Pocket Clip"/>
    <n v="20.100000000000001"/>
    <n v="3"/>
    <n v="0"/>
    <n v="6.633"/>
  </r>
  <r>
    <n v="91"/>
    <d v="2013-09-18T00:00:00"/>
    <n v="2013"/>
    <x v="8"/>
    <x v="42"/>
    <n v="5"/>
    <x v="1"/>
    <s v="Jim Sink"/>
    <s v="Corporate"/>
    <s v="United States"/>
    <s v="Los Angeles"/>
    <s v="California"/>
    <x v="1"/>
    <x v="2"/>
    <s v="Phones"/>
    <s v="Panasonic Kx-TS550"/>
    <n v="73.584000000000003"/>
    <n v="2"/>
    <n v="0.2"/>
    <n v="8.2782"/>
  </r>
  <r>
    <n v="92"/>
    <d v="2013-09-18T00:00:00"/>
    <n v="2013"/>
    <x v="8"/>
    <x v="42"/>
    <n v="5"/>
    <x v="1"/>
    <s v="Jim Sink"/>
    <s v="Corporate"/>
    <s v="United States"/>
    <s v="Los Angeles"/>
    <s v="California"/>
    <x v="1"/>
    <x v="1"/>
    <s v="Paper"/>
    <s v="Xerox 1995"/>
    <n v="6.48"/>
    <n v="1"/>
    <n v="0"/>
    <n v="3.1103999999999998"/>
  </r>
  <r>
    <n v="93"/>
    <d v="2012-01-31T00:00:00"/>
    <n v="2012"/>
    <x v="9"/>
    <x v="43"/>
    <n v="5"/>
    <x v="0"/>
    <s v="Karl Braun"/>
    <s v="Consumer"/>
    <s v="United States"/>
    <s v="Minneapolis"/>
    <s v="Minnesota"/>
    <x v="2"/>
    <x v="1"/>
    <s v="Paper"/>
    <s v="Xerox 1999"/>
    <n v="12.96"/>
    <n v="2"/>
    <n v="0"/>
    <n v="6.2207999999999997"/>
  </r>
  <r>
    <n v="94"/>
    <d v="2012-01-31T00:00:00"/>
    <n v="2012"/>
    <x v="9"/>
    <x v="43"/>
    <n v="5"/>
    <x v="0"/>
    <s v="Karl Braun"/>
    <s v="Consumer"/>
    <s v="United States"/>
    <s v="Minneapolis"/>
    <s v="Minnesota"/>
    <x v="2"/>
    <x v="0"/>
    <s v="Furnishings"/>
    <s v="Seth Thomas 13 1/2&quot; Wall Clock"/>
    <n v="53.34"/>
    <n v="3"/>
    <n v="0"/>
    <n v="16.535399999999999"/>
  </r>
  <r>
    <n v="95"/>
    <d v="2012-01-31T00:00:00"/>
    <n v="2012"/>
    <x v="9"/>
    <x v="43"/>
    <n v="5"/>
    <x v="0"/>
    <s v="Karl Braun"/>
    <s v="Consumer"/>
    <s v="United States"/>
    <s v="Minneapolis"/>
    <s v="Minnesota"/>
    <x v="2"/>
    <x v="1"/>
    <s v="Binders"/>
    <s v="Ibico Standard Transparent Covers"/>
    <n v="32.96"/>
    <n v="2"/>
    <n v="0"/>
    <n v="16.150400000000001"/>
  </r>
  <r>
    <n v="96"/>
    <d v="2014-11-07T00:00:00"/>
    <n v="2014"/>
    <x v="0"/>
    <x v="44"/>
    <n v="6"/>
    <x v="1"/>
    <s v="Roger Barcio"/>
    <s v="Home Office"/>
    <s v="United States"/>
    <s v="Portland"/>
    <s v="Oregon"/>
    <x v="1"/>
    <x v="1"/>
    <s v="Binders"/>
    <s v="Flexible Leather- Look Classic Collection Ring Binder"/>
    <n v="5.6820000000000004"/>
    <n v="1"/>
    <n v="0.7"/>
    <n v="-3.7879999999999998"/>
  </r>
  <r>
    <n v="97"/>
    <d v="2014-11-10T00:00:00"/>
    <n v="2014"/>
    <x v="0"/>
    <x v="45"/>
    <n v="2"/>
    <x v="0"/>
    <s v="Parhena Norris"/>
    <s v="Home Office"/>
    <s v="United States"/>
    <s v="New York City"/>
    <s v="New York"/>
    <x v="3"/>
    <x v="0"/>
    <s v="Furnishings"/>
    <s v="9-3/4 Diameter Round Wall Clock"/>
    <n v="96.53"/>
    <n v="7"/>
    <n v="0"/>
    <n v="40.5426"/>
  </r>
  <r>
    <n v="98"/>
    <d v="2014-06-18T00:00:00"/>
    <n v="2014"/>
    <x v="1"/>
    <x v="46"/>
    <n v="3"/>
    <x v="2"/>
    <s v="Katherine Ducich"/>
    <s v="Consumer"/>
    <s v="United States"/>
    <s v="San Francisco"/>
    <s v="California"/>
    <x v="1"/>
    <x v="1"/>
    <s v="Binders"/>
    <s v="Trimflex Flexible Post Binders"/>
    <n v="51.311999999999998"/>
    <n v="3"/>
    <n v="0.2"/>
    <n v="17.959199999999999"/>
  </r>
  <r>
    <n v="99"/>
    <d v="2013-09-07T00:00:00"/>
    <n v="2013"/>
    <x v="8"/>
    <x v="47"/>
    <n v="5"/>
    <x v="1"/>
    <s v="Elpida Rittenbach"/>
    <s v="Corporate"/>
    <s v="United States"/>
    <s v="Saint Paul"/>
    <s v="Minnesota"/>
    <x v="2"/>
    <x v="1"/>
    <s v="Appliances"/>
    <s v="Fellowes Basic Home/Office Series Surge Protectors"/>
    <n v="77.88"/>
    <n v="6"/>
    <n v="0"/>
    <n v="22.5852"/>
  </r>
  <r>
    <n v="100"/>
    <d v="2013-08-30T00:00:00"/>
    <n v="2013"/>
    <x v="6"/>
    <x v="48"/>
    <n v="4"/>
    <x v="1"/>
    <s v="Rick Bensley"/>
    <s v="Home Office"/>
    <s v="United States"/>
    <s v="Chicago"/>
    <s v="Illinois"/>
    <x v="2"/>
    <x v="1"/>
    <s v="Paper"/>
    <s v="Avery Personal Creations Heavyweight Cards"/>
    <n v="64.623999999999995"/>
    <n v="7"/>
    <n v="0.2"/>
    <n v="22.618400000000001"/>
  </r>
  <r>
    <n v="101"/>
    <d v="2013-08-30T00:00:00"/>
    <n v="2013"/>
    <x v="6"/>
    <x v="48"/>
    <n v="4"/>
    <x v="1"/>
    <s v="Rick Bensley"/>
    <s v="Home Office"/>
    <s v="United States"/>
    <s v="Chicago"/>
    <s v="Illinois"/>
    <x v="2"/>
    <x v="2"/>
    <s v="Accessories"/>
    <s v="SanDisk Ultra 64 GB MicroSDHC Class 10 Memory Card"/>
    <n v="95.975999999999999"/>
    <n v="3"/>
    <n v="0.2"/>
    <n v="-10.7973"/>
  </r>
  <r>
    <n v="102"/>
    <d v="2013-08-30T00:00:00"/>
    <n v="2013"/>
    <x v="6"/>
    <x v="48"/>
    <n v="4"/>
    <x v="1"/>
    <s v="Rick Bensley"/>
    <s v="Home Office"/>
    <s v="United States"/>
    <s v="Chicago"/>
    <s v="Illinois"/>
    <x v="2"/>
    <x v="1"/>
    <s v="Binders"/>
    <s v="Avery Hidden Tab Dividers for Binding Systems"/>
    <n v="1.788"/>
    <n v="3"/>
    <n v="0.8"/>
    <n v="-3.0396000000000001"/>
  </r>
  <r>
    <n v="103"/>
    <d v="2013-12-02T00:00:00"/>
    <n v="2013"/>
    <x v="4"/>
    <x v="49"/>
    <n v="3"/>
    <x v="0"/>
    <s v="Gary Zandusky"/>
    <s v="Consumer"/>
    <s v="United States"/>
    <s v="Rochester"/>
    <s v="Minnesota"/>
    <x v="2"/>
    <x v="1"/>
    <s v="Paper"/>
    <s v="Universal Premium White Copier/Laser Paper (20Lb. and 87 Bright)"/>
    <n v="23.92"/>
    <n v="4"/>
    <n v="0"/>
    <n v="11.720800000000001"/>
  </r>
  <r>
    <n v="104"/>
    <d v="2012-11-13T00:00:00"/>
    <n v="2012"/>
    <x v="0"/>
    <x v="50"/>
    <n v="4"/>
    <x v="1"/>
    <s v="Lena Cacioppo"/>
    <s v="Consumer"/>
    <s v="United States"/>
    <s v="Aurora"/>
    <s v="Colorado"/>
    <x v="1"/>
    <x v="2"/>
    <s v="Accessories"/>
    <s v="Logitech K350 2.4Ghz Wireless Keyboard"/>
    <n v="238.89599999999999"/>
    <n v="6"/>
    <n v="0.2"/>
    <n v="-26.875800000000002"/>
  </r>
  <r>
    <n v="105"/>
    <d v="2012-11-13T00:00:00"/>
    <n v="2012"/>
    <x v="0"/>
    <x v="50"/>
    <n v="4"/>
    <x v="1"/>
    <s v="Lena Cacioppo"/>
    <s v="Consumer"/>
    <s v="United States"/>
    <s v="Aurora"/>
    <s v="Colorado"/>
    <x v="1"/>
    <x v="0"/>
    <s v="Furnishings"/>
    <s v="Deflect-o DuraMat Lighweight, Studded, Beveled Mat for Low Pile Carpeting"/>
    <n v="102.36"/>
    <n v="3"/>
    <n v="0.2"/>
    <n v="-3.8384999999999998"/>
  </r>
  <r>
    <n v="106"/>
    <d v="2012-11-13T00:00:00"/>
    <n v="2012"/>
    <x v="0"/>
    <x v="50"/>
    <n v="4"/>
    <x v="1"/>
    <s v="Lena Cacioppo"/>
    <s v="Consumer"/>
    <s v="United States"/>
    <s v="Aurora"/>
    <s v="Colorado"/>
    <x v="1"/>
    <x v="1"/>
    <s v="Binders"/>
    <s v="Avery Trapezoid Ring Binder, 3&quot; Capacity, Black, 1040 sheets"/>
    <n v="36.881999999999998"/>
    <n v="3"/>
    <n v="0.7"/>
    <n v="-25.817399999999999"/>
  </r>
  <r>
    <n v="107"/>
    <d v="2014-11-24T00:00:00"/>
    <n v="2014"/>
    <x v="0"/>
    <x v="51"/>
    <n v="5"/>
    <x v="1"/>
    <s v="Janet Martin"/>
    <s v="Consumer"/>
    <s v="United States"/>
    <s v="Charlotte"/>
    <s v="North Carolina"/>
    <x v="0"/>
    <x v="2"/>
    <s v="Accessories"/>
    <s v="Memorex Mini Travel Drive 8 GB USB 2.0 Flash Drive"/>
    <n v="74.111999999999995"/>
    <n v="8"/>
    <n v="0.2"/>
    <n v="17.601600000000001"/>
  </r>
  <r>
    <n v="108"/>
    <d v="2014-11-24T00:00:00"/>
    <n v="2014"/>
    <x v="0"/>
    <x v="51"/>
    <n v="5"/>
    <x v="1"/>
    <s v="Janet Martin"/>
    <s v="Consumer"/>
    <s v="United States"/>
    <s v="Charlotte"/>
    <s v="North Carolina"/>
    <x v="0"/>
    <x v="2"/>
    <s v="Phones"/>
    <s v="Speck Products Candyshell Flip Case"/>
    <n v="27.992000000000001"/>
    <n v="1"/>
    <n v="0.2"/>
    <n v="2.0994000000000002"/>
  </r>
  <r>
    <n v="109"/>
    <d v="2014-11-24T00:00:00"/>
    <n v="2014"/>
    <x v="0"/>
    <x v="51"/>
    <n v="5"/>
    <x v="1"/>
    <s v="Janet Martin"/>
    <s v="Consumer"/>
    <s v="United States"/>
    <s v="Charlotte"/>
    <s v="North Carolina"/>
    <x v="0"/>
    <x v="1"/>
    <s v="Art"/>
    <s v="Newell Chalk Holder"/>
    <n v="3.3039999999999998"/>
    <n v="1"/>
    <n v="0.2"/>
    <n v="1.0738000000000001"/>
  </r>
  <r>
    <n v="110"/>
    <d v="2012-10-15T00:00:00"/>
    <n v="2012"/>
    <x v="2"/>
    <x v="52"/>
    <n v="5"/>
    <x v="1"/>
    <s v="Pete Armstrong"/>
    <s v="Home Office"/>
    <s v="United States"/>
    <s v="Orland Park"/>
    <s v="Illinois"/>
    <x v="2"/>
    <x v="2"/>
    <s v="Accessories"/>
    <s v="Logitech Gaming G510s - Keyboard"/>
    <n v="339.96"/>
    <n v="5"/>
    <n v="0.2"/>
    <n v="67.992000000000004"/>
  </r>
  <r>
    <n v="111"/>
    <d v="2014-12-26T00:00:00"/>
    <n v="2014"/>
    <x v="4"/>
    <x v="53"/>
    <n v="5"/>
    <x v="1"/>
    <s v="Cynthia Voltz"/>
    <s v="Corporate"/>
    <s v="United States"/>
    <s v="New York City"/>
    <s v="New York"/>
    <x v="3"/>
    <x v="0"/>
    <s v="Furnishings"/>
    <s v="Magnifier Swing Arm Lamp"/>
    <n v="41.96"/>
    <n v="2"/>
    <n v="0"/>
    <n v="10.909599999999999"/>
  </r>
  <r>
    <n v="112"/>
    <d v="2013-11-04T00:00:00"/>
    <n v="2013"/>
    <x v="0"/>
    <x v="54"/>
    <n v="7"/>
    <x v="1"/>
    <s v="Clay Ludtke"/>
    <s v="Consumer"/>
    <s v="United States"/>
    <s v="Urbandale"/>
    <s v="Iowa"/>
    <x v="2"/>
    <x v="1"/>
    <s v="Art"/>
    <s v="Hunt PowerHouse Electric Pencil Sharpener, Blue"/>
    <n v="75.959999999999994"/>
    <n v="2"/>
    <n v="0"/>
    <n v="22.788"/>
  </r>
  <r>
    <n v="113"/>
    <d v="2013-11-04T00:00:00"/>
    <n v="2013"/>
    <x v="0"/>
    <x v="54"/>
    <n v="7"/>
    <x v="1"/>
    <s v="Clay Ludtke"/>
    <s v="Consumer"/>
    <s v="United States"/>
    <s v="Urbandale"/>
    <s v="Iowa"/>
    <x v="2"/>
    <x v="1"/>
    <s v="Binders"/>
    <s v="Avery Durable Plastic 1&quot; Binders"/>
    <n v="27.24"/>
    <n v="6"/>
    <n v="0"/>
    <n v="13.3476"/>
  </r>
  <r>
    <n v="114"/>
    <d v="2011-08-25T00:00:00"/>
    <n v="2011"/>
    <x v="6"/>
    <x v="55"/>
    <n v="2"/>
    <x v="0"/>
    <s v="Ryan Crowe"/>
    <s v="Consumer"/>
    <s v="United States"/>
    <s v="Columbus"/>
    <s v="Ohio"/>
    <x v="3"/>
    <x v="1"/>
    <s v="Fasteners"/>
    <s v="OIC Colored Binder Clips, Assorted Sizes"/>
    <n v="40.095999999999997"/>
    <n v="14"/>
    <n v="0.2"/>
    <n v="14.534800000000001"/>
  </r>
  <r>
    <n v="115"/>
    <d v="2011-08-25T00:00:00"/>
    <n v="2011"/>
    <x v="6"/>
    <x v="55"/>
    <n v="2"/>
    <x v="0"/>
    <s v="Ryan Crowe"/>
    <s v="Consumer"/>
    <s v="United States"/>
    <s v="Columbus"/>
    <s v="Ohio"/>
    <x v="3"/>
    <x v="1"/>
    <s v="Envelopes"/>
    <s v="Redi-Strip #10 Envelopes, 4 1/8 x 9 1/2"/>
    <n v="4.72"/>
    <n v="2"/>
    <n v="0.2"/>
    <n v="1.6519999999999999"/>
  </r>
  <r>
    <n v="116"/>
    <d v="2011-08-25T00:00:00"/>
    <n v="2011"/>
    <x v="6"/>
    <x v="55"/>
    <n v="2"/>
    <x v="0"/>
    <s v="Ryan Crowe"/>
    <s v="Consumer"/>
    <s v="United States"/>
    <s v="Columbus"/>
    <s v="Ohio"/>
    <x v="3"/>
    <x v="1"/>
    <s v="Paper"/>
    <s v="Xerox 1921"/>
    <n v="23.975999999999999"/>
    <n v="3"/>
    <n v="0.2"/>
    <n v="7.4924999999999997"/>
  </r>
  <r>
    <n v="117"/>
    <d v="2011-08-25T00:00:00"/>
    <n v="2011"/>
    <x v="6"/>
    <x v="55"/>
    <n v="2"/>
    <x v="0"/>
    <s v="Ryan Crowe"/>
    <s v="Consumer"/>
    <s v="United States"/>
    <s v="Columbus"/>
    <s v="Ohio"/>
    <x v="3"/>
    <x v="1"/>
    <s v="Envelopes"/>
    <s v="Tyvek  Top-Opening Peel &amp; Seel Envelopes, Plain White"/>
    <n v="130.464"/>
    <n v="6"/>
    <n v="0.2"/>
    <n v="44.031599999999997"/>
  </r>
  <r>
    <n v="118"/>
    <d v="2012-03-02T00:00:00"/>
    <n v="2012"/>
    <x v="10"/>
    <x v="56"/>
    <n v="4"/>
    <x v="1"/>
    <s v="Dave Kipp"/>
    <s v="Consumer"/>
    <s v="United States"/>
    <s v="Seattle"/>
    <s v="Washington"/>
    <x v="1"/>
    <x v="0"/>
    <s v="Tables"/>
    <s v="Hon Racetrack Conference Tables"/>
    <n v="787.53"/>
    <n v="3"/>
    <n v="0"/>
    <n v="165.38130000000001"/>
  </r>
  <r>
    <n v="119"/>
    <d v="2012-04-05T00:00:00"/>
    <n v="2012"/>
    <x v="3"/>
    <x v="57"/>
    <n v="5"/>
    <x v="1"/>
    <s v="Greg Guthrie"/>
    <s v="Corporate"/>
    <s v="United States"/>
    <s v="Bristol"/>
    <s v="Tennessee"/>
    <x v="0"/>
    <x v="1"/>
    <s v="Binders"/>
    <s v="GBC DocuBind 300 Electric Binding Machine"/>
    <n v="157.79400000000001"/>
    <n v="1"/>
    <n v="0.7"/>
    <n v="-115.71559999999999"/>
  </r>
  <r>
    <n v="120"/>
    <d v="2013-06-13T00:00:00"/>
    <n v="2013"/>
    <x v="1"/>
    <x v="35"/>
    <n v="3"/>
    <x v="2"/>
    <s v="Steven Cartwright"/>
    <s v="Consumer"/>
    <s v="United States"/>
    <s v="Wilmington"/>
    <s v="Delaware"/>
    <x v="3"/>
    <x v="0"/>
    <s v="Furnishings"/>
    <s v="Artistic Insta-Plaque"/>
    <n v="47.04"/>
    <n v="3"/>
    <n v="0"/>
    <n v="18.345600000000001"/>
  </r>
  <r>
    <n v="121"/>
    <d v="2013-06-13T00:00:00"/>
    <n v="2013"/>
    <x v="1"/>
    <x v="35"/>
    <n v="3"/>
    <x v="2"/>
    <s v="Steven Cartwright"/>
    <s v="Consumer"/>
    <s v="United States"/>
    <s v="Wilmington"/>
    <s v="Delaware"/>
    <x v="3"/>
    <x v="1"/>
    <s v="Binders"/>
    <s v="DXL Angle-View Binders with Locking Rings by Samsill"/>
    <n v="30.84"/>
    <n v="4"/>
    <n v="0"/>
    <n v="13.878"/>
  </r>
  <r>
    <n v="122"/>
    <d v="2013-06-13T00:00:00"/>
    <n v="2013"/>
    <x v="1"/>
    <x v="35"/>
    <n v="3"/>
    <x v="2"/>
    <s v="Steven Cartwright"/>
    <s v="Consumer"/>
    <s v="United States"/>
    <s v="Wilmington"/>
    <s v="Delaware"/>
    <x v="3"/>
    <x v="1"/>
    <s v="Storage"/>
    <s v="Companion Letter/Legal File, Black"/>
    <n v="226.56"/>
    <n v="6"/>
    <n v="0"/>
    <n v="63.436799999999998"/>
  </r>
  <r>
    <n v="123"/>
    <d v="2013-06-13T00:00:00"/>
    <n v="2013"/>
    <x v="1"/>
    <x v="35"/>
    <n v="3"/>
    <x v="2"/>
    <s v="Steven Cartwright"/>
    <s v="Consumer"/>
    <s v="United States"/>
    <s v="Wilmington"/>
    <s v="Delaware"/>
    <x v="3"/>
    <x v="1"/>
    <s v="Envelopes"/>
    <s v="Globe Weis Peel &amp; Seel First Class Envelopes"/>
    <n v="115.02"/>
    <n v="9"/>
    <n v="0"/>
    <n v="51.759"/>
  </r>
  <r>
    <n v="124"/>
    <d v="2013-06-13T00:00:00"/>
    <n v="2013"/>
    <x v="1"/>
    <x v="35"/>
    <n v="3"/>
    <x v="2"/>
    <s v="Steven Cartwright"/>
    <s v="Consumer"/>
    <s v="United States"/>
    <s v="Wilmington"/>
    <s v="Delaware"/>
    <x v="3"/>
    <x v="2"/>
    <s v="Phones"/>
    <s v="KLD Oscar II Style Snap-on Ultra Thin Side Flip Synthetic Leather Cover Case for HTC One HTC M7"/>
    <n v="68.040000000000006"/>
    <n v="7"/>
    <n v="0"/>
    <n v="19.7316"/>
  </r>
  <r>
    <n v="125"/>
    <d v="2011-12-26T00:00:00"/>
    <n v="2011"/>
    <x v="4"/>
    <x v="58"/>
    <n v="2"/>
    <x v="0"/>
    <s v="Alan Dominguez"/>
    <s v="Home Office"/>
    <s v="United States"/>
    <s v="Houston"/>
    <s v="Texas"/>
    <x v="2"/>
    <x v="0"/>
    <s v="Chairs"/>
    <s v="Global Deluxe High-Back Manager's Chair"/>
    <n v="600.55799999999999"/>
    <n v="3"/>
    <n v="0.3"/>
    <n v="-8.5793999999999997"/>
  </r>
  <r>
    <n v="126"/>
    <d v="2011-09-20T00:00:00"/>
    <n v="2011"/>
    <x v="8"/>
    <x v="59"/>
    <n v="5"/>
    <x v="1"/>
    <s v="Philip Fox"/>
    <s v="Consumer"/>
    <s v="United States"/>
    <s v="Bloomington"/>
    <s v="Illinois"/>
    <x v="2"/>
    <x v="0"/>
    <s v="Tables"/>
    <s v="Bevis 44 x 96 Conference Tables"/>
    <n v="617.70000000000005"/>
    <n v="6"/>
    <n v="0.5"/>
    <n v="-407.68200000000002"/>
  </r>
  <r>
    <n v="127"/>
    <d v="2014-11-06T00:00:00"/>
    <n v="2014"/>
    <x v="0"/>
    <x v="44"/>
    <n v="7"/>
    <x v="1"/>
    <s v="Troy Staebel"/>
    <s v="Consumer"/>
    <s v="United States"/>
    <s v="Phoenix"/>
    <s v="Arizona"/>
    <x v="1"/>
    <x v="1"/>
    <s v="Binders"/>
    <s v="Avery Durable Slant Ring Binders, No Labels"/>
    <n v="2.3879999999999999"/>
    <n v="2"/>
    <n v="0.7"/>
    <n v="-1.8308"/>
  </r>
  <r>
    <n v="128"/>
    <d v="2014-11-06T00:00:00"/>
    <n v="2014"/>
    <x v="0"/>
    <x v="44"/>
    <n v="7"/>
    <x v="1"/>
    <s v="Troy Staebel"/>
    <s v="Consumer"/>
    <s v="United States"/>
    <s v="Phoenix"/>
    <s v="Arizona"/>
    <x v="1"/>
    <x v="1"/>
    <s v="Storage"/>
    <s v="Trav-L-File Heavy-Duty Shuttle II, Black"/>
    <n v="243.99199999999999"/>
    <n v="7"/>
    <n v="0.2"/>
    <n v="30.498999999999999"/>
  </r>
  <r>
    <n v="129"/>
    <d v="2013-11-07T00:00:00"/>
    <n v="2013"/>
    <x v="0"/>
    <x v="54"/>
    <n v="4"/>
    <x v="0"/>
    <s v="Lindsay Shagiari"/>
    <s v="Home Office"/>
    <s v="United States"/>
    <s v="Los Angeles"/>
    <s v="California"/>
    <x v="1"/>
    <x v="0"/>
    <s v="Chairs"/>
    <s v="Global Task Chair, Black"/>
    <n v="81.424000000000007"/>
    <n v="2"/>
    <n v="0.2"/>
    <n v="-9.1601999999999997"/>
  </r>
  <r>
    <n v="130"/>
    <d v="2013-11-07T00:00:00"/>
    <n v="2013"/>
    <x v="0"/>
    <x v="54"/>
    <n v="4"/>
    <x v="0"/>
    <s v="Lindsay Shagiari"/>
    <s v="Home Office"/>
    <s v="United States"/>
    <s v="Los Angeles"/>
    <s v="California"/>
    <x v="1"/>
    <x v="0"/>
    <s v="Furnishings"/>
    <s v="Eldon Cleatmat Plus Chair Mats for High Pile Carpets"/>
    <n v="238.56"/>
    <n v="3"/>
    <n v="0"/>
    <n v="26.241599999999998"/>
  </r>
  <r>
    <n v="131"/>
    <d v="2014-02-03T00:00:00"/>
    <n v="2014"/>
    <x v="11"/>
    <x v="60"/>
    <n v="3"/>
    <x v="2"/>
    <s v="Dorothy Wardle"/>
    <s v="Corporate"/>
    <s v="United States"/>
    <s v="Columbus"/>
    <s v="Ohio"/>
    <x v="3"/>
    <x v="2"/>
    <s v="Phones"/>
    <s v="Anker 36W 4-Port USB Wall Charger Travel Power Adapter for iPhone 5s 5c 5"/>
    <n v="59.97"/>
    <n v="5"/>
    <n v="0.4"/>
    <n v="-11.994"/>
  </r>
  <r>
    <n v="132"/>
    <d v="2014-02-03T00:00:00"/>
    <n v="2014"/>
    <x v="11"/>
    <x v="60"/>
    <n v="3"/>
    <x v="2"/>
    <s v="Dorothy Wardle"/>
    <s v="Corporate"/>
    <s v="United States"/>
    <s v="Columbus"/>
    <s v="Ohio"/>
    <x v="3"/>
    <x v="1"/>
    <s v="Paper"/>
    <s v="Xerox 1916"/>
    <n v="78.304000000000002"/>
    <n v="2"/>
    <n v="0.2"/>
    <n v="29.364000000000001"/>
  </r>
  <r>
    <n v="133"/>
    <d v="2014-02-03T00:00:00"/>
    <n v="2014"/>
    <x v="11"/>
    <x v="60"/>
    <n v="3"/>
    <x v="2"/>
    <s v="Dorothy Wardle"/>
    <s v="Corporate"/>
    <s v="United States"/>
    <s v="Columbus"/>
    <s v="Ohio"/>
    <x v="3"/>
    <x v="1"/>
    <s v="Fasteners"/>
    <s v="Staples"/>
    <n v="21.456"/>
    <n v="9"/>
    <n v="0.2"/>
    <n v="6.9732000000000003"/>
  </r>
  <r>
    <n v="134"/>
    <d v="2013-10-14T00:00:00"/>
    <n v="2013"/>
    <x v="2"/>
    <x v="61"/>
    <n v="6"/>
    <x v="1"/>
    <s v="Lena Creighton"/>
    <s v="Consumer"/>
    <s v="United States"/>
    <s v="Roseville"/>
    <s v="California"/>
    <x v="1"/>
    <x v="1"/>
    <s v="Paper"/>
    <s v="Xerox 195"/>
    <n v="20.04"/>
    <n v="3"/>
    <n v="0"/>
    <n v="9.6191999999999993"/>
  </r>
  <r>
    <n v="135"/>
    <d v="2013-10-14T00:00:00"/>
    <n v="2013"/>
    <x v="2"/>
    <x v="61"/>
    <n v="6"/>
    <x v="1"/>
    <s v="Lena Creighton"/>
    <s v="Consumer"/>
    <s v="United States"/>
    <s v="Roseville"/>
    <s v="California"/>
    <x v="1"/>
    <x v="1"/>
    <s v="Paper"/>
    <s v="Xerox 1880"/>
    <n v="35.44"/>
    <n v="1"/>
    <n v="0"/>
    <n v="16.6568"/>
  </r>
  <r>
    <n v="136"/>
    <d v="2013-10-14T00:00:00"/>
    <n v="2013"/>
    <x v="2"/>
    <x v="61"/>
    <n v="6"/>
    <x v="1"/>
    <s v="Lena Creighton"/>
    <s v="Consumer"/>
    <s v="United States"/>
    <s v="Roseville"/>
    <s v="California"/>
    <x v="1"/>
    <x v="1"/>
    <s v="Art"/>
    <s v="Sanford Colorific Colored Pencils, 12/Box"/>
    <n v="11.52"/>
    <n v="4"/>
    <n v="0"/>
    <n v="3.456"/>
  </r>
  <r>
    <n v="137"/>
    <d v="2013-10-14T00:00:00"/>
    <n v="2013"/>
    <x v="2"/>
    <x v="61"/>
    <n v="6"/>
    <x v="1"/>
    <s v="Lena Creighton"/>
    <s v="Consumer"/>
    <s v="United States"/>
    <s v="Roseville"/>
    <s v="California"/>
    <x v="1"/>
    <x v="1"/>
    <s v="Fasteners"/>
    <s v="Ideal Clamps"/>
    <n v="4.0199999999999996"/>
    <n v="2"/>
    <n v="0"/>
    <n v="1.9698"/>
  </r>
  <r>
    <n v="138"/>
    <d v="2013-10-14T00:00:00"/>
    <n v="2013"/>
    <x v="2"/>
    <x v="61"/>
    <n v="6"/>
    <x v="1"/>
    <s v="Lena Creighton"/>
    <s v="Consumer"/>
    <s v="United States"/>
    <s v="Roseville"/>
    <s v="California"/>
    <x v="1"/>
    <x v="1"/>
    <s v="Binders"/>
    <s v="GBC Wire Binding Strips"/>
    <n v="76.176000000000002"/>
    <n v="3"/>
    <n v="0.2"/>
    <n v="26.6616"/>
  </r>
  <r>
    <n v="139"/>
    <d v="2013-10-14T00:00:00"/>
    <n v="2013"/>
    <x v="2"/>
    <x v="61"/>
    <n v="6"/>
    <x v="1"/>
    <s v="Lena Creighton"/>
    <s v="Consumer"/>
    <s v="United States"/>
    <s v="Roseville"/>
    <s v="California"/>
    <x v="1"/>
    <x v="1"/>
    <s v="Supplies"/>
    <s v="Fiskars Softgrip Scissors"/>
    <n v="65.88"/>
    <n v="6"/>
    <n v="0"/>
    <n v="18.446400000000001"/>
  </r>
  <r>
    <n v="140"/>
    <d v="2013-10-14T00:00:00"/>
    <n v="2013"/>
    <x v="2"/>
    <x v="61"/>
    <n v="6"/>
    <x v="1"/>
    <s v="Lena Creighton"/>
    <s v="Consumer"/>
    <s v="United States"/>
    <s v="Roseville"/>
    <s v="California"/>
    <x v="1"/>
    <x v="0"/>
    <s v="Furnishings"/>
    <s v="Longer-Life Soft White Bulbs"/>
    <n v="43.12"/>
    <n v="14"/>
    <n v="0"/>
    <n v="20.697600000000001"/>
  </r>
  <r>
    <n v="141"/>
    <d v="2013-09-06T00:00:00"/>
    <n v="2013"/>
    <x v="8"/>
    <x v="62"/>
    <n v="2"/>
    <x v="0"/>
    <s v="Jonathan Doherty"/>
    <s v="Corporate"/>
    <s v="United States"/>
    <s v="Philadelphia"/>
    <s v="Pennsylvania"/>
    <x v="3"/>
    <x v="0"/>
    <s v="Furnishings"/>
    <s v="Howard Miller 13-3/4&quot; Diameter Brushed Chrome Round Wall Clock"/>
    <n v="82.8"/>
    <n v="2"/>
    <n v="0.2"/>
    <n v="10.35"/>
  </r>
  <r>
    <n v="142"/>
    <d v="2014-09-19T00:00:00"/>
    <n v="2014"/>
    <x v="8"/>
    <x v="19"/>
    <n v="5"/>
    <x v="1"/>
    <s v="Sally Hughsby"/>
    <s v="Corporate"/>
    <s v="United States"/>
    <s v="San Francisco"/>
    <s v="California"/>
    <x v="1"/>
    <x v="1"/>
    <s v="Art"/>
    <s v="Newell 343"/>
    <n v="8.82"/>
    <n v="3"/>
    <n v="0"/>
    <n v="2.3814000000000002"/>
  </r>
  <r>
    <n v="143"/>
    <d v="2014-09-19T00:00:00"/>
    <n v="2014"/>
    <x v="8"/>
    <x v="19"/>
    <n v="5"/>
    <x v="1"/>
    <s v="Sally Hughsby"/>
    <s v="Corporate"/>
    <s v="United States"/>
    <s v="San Francisco"/>
    <s v="California"/>
    <x v="1"/>
    <x v="1"/>
    <s v="Envelopes"/>
    <s v="Convenience Packs of Business Envelopes"/>
    <n v="10.86"/>
    <n v="3"/>
    <n v="0"/>
    <n v="5.1041999999999996"/>
  </r>
  <r>
    <n v="144"/>
    <d v="2014-09-19T00:00:00"/>
    <n v="2014"/>
    <x v="8"/>
    <x v="19"/>
    <n v="5"/>
    <x v="1"/>
    <s v="Sally Hughsby"/>
    <s v="Corporate"/>
    <s v="United States"/>
    <s v="San Francisco"/>
    <s v="California"/>
    <x v="1"/>
    <x v="1"/>
    <s v="Paper"/>
    <s v="Xerox 1911"/>
    <n v="143.69999999999999"/>
    <n v="3"/>
    <n v="0"/>
    <n v="68.975999999999999"/>
  </r>
  <r>
    <n v="145"/>
    <d v="2014-12-23T00:00:00"/>
    <n v="2014"/>
    <x v="4"/>
    <x v="63"/>
    <n v="5"/>
    <x v="1"/>
    <s v="Sandra Glassco"/>
    <s v="Consumer"/>
    <s v="United States"/>
    <s v="Independence"/>
    <s v="Missouri"/>
    <x v="2"/>
    <x v="1"/>
    <s v="Appliances"/>
    <s v="Sanyo 2.5 Cubic Foot Mid-Size Office Refrigerators"/>
    <n v="839.43"/>
    <n v="3"/>
    <n v="0"/>
    <n v="218.2518"/>
  </r>
  <r>
    <n v="146"/>
    <d v="2012-09-07T00:00:00"/>
    <n v="2012"/>
    <x v="8"/>
    <x v="64"/>
    <n v="5"/>
    <x v="1"/>
    <s v="Helen Andreada"/>
    <s v="Consumer"/>
    <s v="United States"/>
    <s v="Pasadena"/>
    <s v="California"/>
    <x v="1"/>
    <x v="1"/>
    <s v="Storage"/>
    <s v="Safco Industrial Wire Shelving"/>
    <n v="671.93"/>
    <n v="7"/>
    <n v="0"/>
    <n v="20.157900000000001"/>
  </r>
  <r>
    <n v="147"/>
    <d v="2011-10-22T00:00:00"/>
    <n v="2011"/>
    <x v="2"/>
    <x v="65"/>
    <n v="6"/>
    <x v="1"/>
    <s v="Maureen Gastineau"/>
    <s v="Home Office"/>
    <s v="United States"/>
    <s v="Newark"/>
    <s v="Ohio"/>
    <x v="3"/>
    <x v="0"/>
    <s v="Furnishings"/>
    <s v="Seth Thomas 14&quot; Putty-Colored Wall Clock"/>
    <n v="93.888000000000005"/>
    <n v="4"/>
    <n v="0.2"/>
    <n v="12.909599999999999"/>
  </r>
  <r>
    <n v="148"/>
    <d v="2013-12-06T00:00:00"/>
    <n v="2013"/>
    <x v="4"/>
    <x v="66"/>
    <n v="4"/>
    <x v="1"/>
    <s v="Justin Ellison"/>
    <s v="Corporate"/>
    <s v="United States"/>
    <s v="Franklin"/>
    <s v="Wisconsin"/>
    <x v="2"/>
    <x v="2"/>
    <s v="Phones"/>
    <s v="Plantronics Cordless Phone Headset with In-line Volume - M214C"/>
    <n v="384.45"/>
    <n v="11"/>
    <n v="0"/>
    <n v="103.8015"/>
  </r>
  <r>
    <n v="149"/>
    <d v="2013-12-06T00:00:00"/>
    <n v="2013"/>
    <x v="4"/>
    <x v="66"/>
    <n v="4"/>
    <x v="1"/>
    <s v="Justin Ellison"/>
    <s v="Corporate"/>
    <s v="United States"/>
    <s v="Franklin"/>
    <s v="Wisconsin"/>
    <x v="2"/>
    <x v="2"/>
    <s v="Phones"/>
    <s v="Anker Astro 15000mAh USB Portable Charger"/>
    <n v="149.97"/>
    <n v="3"/>
    <n v="0"/>
    <n v="5.9988000000000001"/>
  </r>
  <r>
    <n v="150"/>
    <d v="2013-12-06T00:00:00"/>
    <n v="2013"/>
    <x v="4"/>
    <x v="66"/>
    <n v="4"/>
    <x v="1"/>
    <s v="Justin Ellison"/>
    <s v="Corporate"/>
    <s v="United States"/>
    <s v="Franklin"/>
    <s v="Wisconsin"/>
    <x v="2"/>
    <x v="0"/>
    <s v="Chairs"/>
    <s v="Hon Deluxe Fabric Upholstered Stacking Chairs, Rounded Back"/>
    <n v="1951.84"/>
    <n v="8"/>
    <n v="0"/>
    <n v="585.55200000000002"/>
  </r>
  <r>
    <n v="151"/>
    <d v="2013-12-06T00:00:00"/>
    <n v="2013"/>
    <x v="4"/>
    <x v="66"/>
    <n v="4"/>
    <x v="1"/>
    <s v="Justin Ellison"/>
    <s v="Corporate"/>
    <s v="United States"/>
    <s v="Franklin"/>
    <s v="Wisconsin"/>
    <x v="2"/>
    <x v="1"/>
    <s v="Binders"/>
    <s v="GBC Prestige Therm-A-Bind Covers"/>
    <n v="171.55"/>
    <n v="5"/>
    <n v="0"/>
    <n v="80.628500000000003"/>
  </r>
  <r>
    <n v="152"/>
    <d v="2013-03-14T00:00:00"/>
    <n v="2013"/>
    <x v="10"/>
    <x v="67"/>
    <n v="3"/>
    <x v="2"/>
    <s v="Tamara Willingham"/>
    <s v="Home Office"/>
    <s v="United States"/>
    <s v="Scottsdale"/>
    <s v="Arizona"/>
    <x v="1"/>
    <x v="1"/>
    <s v="Appliances"/>
    <s v="Belkin 7 Outlet SurgeMaster Surge Protector with Phone Protection"/>
    <n v="157.91999999999999"/>
    <n v="5"/>
    <n v="0.2"/>
    <n v="17.765999999999998"/>
  </r>
  <r>
    <n v="153"/>
    <d v="2013-03-14T00:00:00"/>
    <n v="2013"/>
    <x v="10"/>
    <x v="67"/>
    <n v="3"/>
    <x v="2"/>
    <s v="Tamara Willingham"/>
    <s v="Home Office"/>
    <s v="United States"/>
    <s v="Scottsdale"/>
    <s v="Arizona"/>
    <x v="1"/>
    <x v="2"/>
    <s v="Phones"/>
    <s v="Jabra BIZ 2300 Duo QD Duo Corded Headset"/>
    <n v="203.184"/>
    <n v="2"/>
    <n v="0.2"/>
    <n v="15.238799999999999"/>
  </r>
  <r>
    <n v="154"/>
    <d v="2012-05-31T00:00:00"/>
    <n v="2012"/>
    <x v="5"/>
    <x v="68"/>
    <n v="2"/>
    <x v="2"/>
    <s v="Stephanie Phelps"/>
    <s v="Corporate"/>
    <s v="United States"/>
    <s v="San Jose"/>
    <s v="California"/>
    <x v="1"/>
    <x v="1"/>
    <s v="Paper"/>
    <s v="Southworth 25% Cotton Antique Laid Paper &amp; Envelopes"/>
    <n v="58.38"/>
    <n v="7"/>
    <n v="0"/>
    <n v="26.271000000000001"/>
  </r>
  <r>
    <n v="155"/>
    <d v="2012-05-31T00:00:00"/>
    <n v="2012"/>
    <x v="5"/>
    <x v="68"/>
    <n v="2"/>
    <x v="2"/>
    <s v="Stephanie Phelps"/>
    <s v="Corporate"/>
    <s v="United States"/>
    <s v="San Jose"/>
    <s v="California"/>
    <x v="1"/>
    <x v="1"/>
    <s v="Paper"/>
    <s v="Xerox 1883"/>
    <n v="105.52"/>
    <n v="4"/>
    <n v="0"/>
    <n v="48.539200000000001"/>
  </r>
  <r>
    <n v="156"/>
    <d v="2012-05-31T00:00:00"/>
    <n v="2012"/>
    <x v="5"/>
    <x v="68"/>
    <n v="2"/>
    <x v="2"/>
    <s v="Stephanie Phelps"/>
    <s v="Corporate"/>
    <s v="United States"/>
    <s v="San Jose"/>
    <s v="California"/>
    <x v="1"/>
    <x v="1"/>
    <s v="Storage"/>
    <s v="Tenex Personal Project File with Scoop Front Design, Black"/>
    <n v="80.88"/>
    <n v="6"/>
    <n v="0"/>
    <n v="21.0288"/>
  </r>
  <r>
    <n v="157"/>
    <d v="2012-05-28T00:00:00"/>
    <n v="2012"/>
    <x v="5"/>
    <x v="69"/>
    <n v="6"/>
    <x v="1"/>
    <s v="Neil Knudson"/>
    <s v="Home Office"/>
    <s v="United States"/>
    <s v="Seattle"/>
    <s v="Washington"/>
    <x v="1"/>
    <x v="1"/>
    <s v="Art"/>
    <s v="Newell 311"/>
    <n v="6.63"/>
    <n v="3"/>
    <n v="0"/>
    <n v="1.7901"/>
  </r>
  <r>
    <n v="158"/>
    <d v="2011-03-01T00:00:00"/>
    <n v="2011"/>
    <x v="10"/>
    <x v="70"/>
    <n v="5"/>
    <x v="0"/>
    <s v="Dave Brooks"/>
    <s v="Consumer"/>
    <s v="United States"/>
    <s v="Seattle"/>
    <s v="Washington"/>
    <x v="1"/>
    <x v="0"/>
    <s v="Chairs"/>
    <s v="Global Deluxe High-Back Manager's Chair"/>
    <n v="457.56799999999998"/>
    <n v="2"/>
    <n v="0.2"/>
    <n v="51.476399999999998"/>
  </r>
  <r>
    <n v="159"/>
    <d v="2013-11-21T00:00:00"/>
    <n v="2013"/>
    <x v="0"/>
    <x v="71"/>
    <n v="4"/>
    <x v="1"/>
    <s v="Nora Paige"/>
    <s v="Consumer"/>
    <s v="United States"/>
    <s v="Edmond"/>
    <s v="Oklahoma"/>
    <x v="2"/>
    <x v="1"/>
    <s v="Labels"/>
    <s v="Avery 519"/>
    <n v="14.62"/>
    <n v="2"/>
    <n v="0"/>
    <n v="6.8714000000000004"/>
  </r>
  <r>
    <n v="160"/>
    <d v="2013-11-21T00:00:00"/>
    <n v="2013"/>
    <x v="0"/>
    <x v="71"/>
    <n v="4"/>
    <x v="1"/>
    <s v="Nora Paige"/>
    <s v="Consumer"/>
    <s v="United States"/>
    <s v="Edmond"/>
    <s v="Oklahoma"/>
    <x v="2"/>
    <x v="2"/>
    <s v="Phones"/>
    <s v="Avaya 5420 Digital phone"/>
    <n v="944.93"/>
    <n v="7"/>
    <n v="0"/>
    <n v="236.23249999999999"/>
  </r>
  <r>
    <n v="161"/>
    <d v="2013-05-12T00:00:00"/>
    <n v="2013"/>
    <x v="5"/>
    <x v="72"/>
    <n v="1"/>
    <x v="2"/>
    <s v="Ted Trevino"/>
    <s v="Consumer"/>
    <s v="United States"/>
    <s v="Los Angeles"/>
    <s v="California"/>
    <x v="1"/>
    <x v="1"/>
    <s v="Paper"/>
    <s v="Xerox 1920"/>
    <n v="5.98"/>
    <n v="1"/>
    <n v="0"/>
    <n v="2.6909999999999998"/>
  </r>
  <r>
    <n v="162"/>
    <d v="2012-12-28T00:00:00"/>
    <n v="2012"/>
    <x v="4"/>
    <x v="16"/>
    <n v="3"/>
    <x v="0"/>
    <s v="Eric Murdock"/>
    <s v="Consumer"/>
    <s v="United States"/>
    <s v="Philadelphia"/>
    <s v="Pennsylvania"/>
    <x v="3"/>
    <x v="2"/>
    <s v="Accessories"/>
    <s v="Lenovo 17-Key USB Numeric Keypad"/>
    <n v="54.384"/>
    <n v="2"/>
    <n v="0.2"/>
    <n v="1.3595999999999999"/>
  </r>
  <r>
    <n v="163"/>
    <d v="2013-11-17T00:00:00"/>
    <n v="2013"/>
    <x v="0"/>
    <x v="73"/>
    <n v="4"/>
    <x v="1"/>
    <s v="Ruben Dartt"/>
    <s v="Consumer"/>
    <s v="United States"/>
    <s v="Carlsbad"/>
    <s v="New Mexico"/>
    <x v="1"/>
    <x v="1"/>
    <s v="Envelopes"/>
    <s v="Staples"/>
    <n v="28.4"/>
    <n v="5"/>
    <n v="0"/>
    <n v="13.348000000000001"/>
  </r>
  <r>
    <n v="164"/>
    <d v="2013-11-08T00:00:00"/>
    <n v="2013"/>
    <x v="0"/>
    <x v="0"/>
    <n v="4"/>
    <x v="1"/>
    <s v="Max Jones"/>
    <s v="Consumer"/>
    <s v="United States"/>
    <s v="Seattle"/>
    <s v="Washington"/>
    <x v="1"/>
    <x v="1"/>
    <s v="Binders"/>
    <s v="Wilson Jones International Size A4 Ring Binders"/>
    <n v="27.68"/>
    <n v="2"/>
    <n v="0.2"/>
    <n v="9.6880000000000006"/>
  </r>
  <r>
    <n v="165"/>
    <d v="2011-09-08T00:00:00"/>
    <n v="2011"/>
    <x v="8"/>
    <x v="74"/>
    <n v="4"/>
    <x v="1"/>
    <s v="Becky Martin"/>
    <s v="Consumer"/>
    <s v="United States"/>
    <s v="San Antonio"/>
    <s v="Texas"/>
    <x v="2"/>
    <x v="1"/>
    <s v="Art"/>
    <s v="BIC Brite Liner Highlighters"/>
    <n v="9.9359999999999999"/>
    <n v="3"/>
    <n v="0.2"/>
    <n v="2.7324000000000002"/>
  </r>
  <r>
    <n v="166"/>
    <d v="2011-09-08T00:00:00"/>
    <n v="2011"/>
    <x v="8"/>
    <x v="74"/>
    <n v="4"/>
    <x v="1"/>
    <s v="Becky Martin"/>
    <s v="Consumer"/>
    <s v="United States"/>
    <s v="San Antonio"/>
    <s v="Texas"/>
    <x v="2"/>
    <x v="2"/>
    <s v="Machines"/>
    <s v="Lexmark MX611dhe Monochrome Laser Printer"/>
    <n v="8159.9520000000002"/>
    <n v="8"/>
    <n v="0.4"/>
    <n v="-1359.992"/>
  </r>
  <r>
    <n v="167"/>
    <d v="2011-09-08T00:00:00"/>
    <n v="2011"/>
    <x v="8"/>
    <x v="74"/>
    <n v="4"/>
    <x v="1"/>
    <s v="Becky Martin"/>
    <s v="Consumer"/>
    <s v="United States"/>
    <s v="San Antonio"/>
    <s v="Texas"/>
    <x v="2"/>
    <x v="1"/>
    <s v="Storage"/>
    <s v="Space Solutions HD Industrial Steel Shelving."/>
    <n v="275.928"/>
    <n v="3"/>
    <n v="0.2"/>
    <n v="-58.634700000000002"/>
  </r>
  <r>
    <n v="168"/>
    <d v="2011-09-08T00:00:00"/>
    <n v="2011"/>
    <x v="8"/>
    <x v="74"/>
    <n v="4"/>
    <x v="1"/>
    <s v="Becky Martin"/>
    <s v="Consumer"/>
    <s v="United States"/>
    <s v="San Antonio"/>
    <s v="Texas"/>
    <x v="2"/>
    <x v="0"/>
    <s v="Chairs"/>
    <s v="SAFCO Arco Folding Chair"/>
    <n v="1740.06"/>
    <n v="9"/>
    <n v="0.3"/>
    <n v="-24.858000000000001"/>
  </r>
  <r>
    <n v="169"/>
    <d v="2011-09-08T00:00:00"/>
    <n v="2011"/>
    <x v="8"/>
    <x v="74"/>
    <n v="4"/>
    <x v="1"/>
    <s v="Becky Martin"/>
    <s v="Consumer"/>
    <s v="United States"/>
    <s v="San Antonio"/>
    <s v="Texas"/>
    <x v="2"/>
    <x v="1"/>
    <s v="Art"/>
    <s v="Sanford Liquid Accent Highlighters"/>
    <n v="32.064"/>
    <n v="6"/>
    <n v="0.2"/>
    <n v="6.8136000000000001"/>
  </r>
  <r>
    <n v="170"/>
    <d v="2011-09-08T00:00:00"/>
    <n v="2011"/>
    <x v="8"/>
    <x v="74"/>
    <n v="4"/>
    <x v="1"/>
    <s v="Becky Martin"/>
    <s v="Consumer"/>
    <s v="United States"/>
    <s v="San Antonio"/>
    <s v="Texas"/>
    <x v="2"/>
    <x v="1"/>
    <s v="Appliances"/>
    <s v="Kensington 7 Outlet MasterPiece Power Center"/>
    <n v="177.98"/>
    <n v="5"/>
    <n v="0.8"/>
    <n v="-453.84899999999999"/>
  </r>
  <r>
    <n v="171"/>
    <d v="2011-09-08T00:00:00"/>
    <n v="2011"/>
    <x v="8"/>
    <x v="74"/>
    <n v="4"/>
    <x v="1"/>
    <s v="Becky Martin"/>
    <s v="Consumer"/>
    <s v="United States"/>
    <s v="San Antonio"/>
    <s v="Texas"/>
    <x v="2"/>
    <x v="2"/>
    <s v="Phones"/>
    <s v="JBL Micro Wireless Portable Bluetooth Speaker"/>
    <n v="143.976"/>
    <n v="3"/>
    <n v="0.2"/>
    <n v="8.9984999999999999"/>
  </r>
  <r>
    <n v="172"/>
    <d v="2011-08-05T00:00:00"/>
    <n v="2011"/>
    <x v="6"/>
    <x v="75"/>
    <n v="4"/>
    <x v="1"/>
    <s v="Chad Sievert"/>
    <s v="Consumer"/>
    <s v="United States"/>
    <s v="Los Angeles"/>
    <s v="California"/>
    <x v="1"/>
    <x v="1"/>
    <s v="Paper"/>
    <s v="Adams Phone Message Book, Professional, 400 Message Capacity, 5 3/6” x 11”"/>
    <n v="20.94"/>
    <n v="3"/>
    <n v="0"/>
    <n v="9.8417999999999992"/>
  </r>
  <r>
    <n v="173"/>
    <d v="2011-08-05T00:00:00"/>
    <n v="2011"/>
    <x v="6"/>
    <x v="75"/>
    <n v="4"/>
    <x v="1"/>
    <s v="Chad Sievert"/>
    <s v="Consumer"/>
    <s v="United States"/>
    <s v="Los Angeles"/>
    <s v="California"/>
    <x v="1"/>
    <x v="1"/>
    <s v="Paper"/>
    <s v="Xerox 1913"/>
    <n v="110.96"/>
    <n v="2"/>
    <n v="0"/>
    <n v="53.260800000000003"/>
  </r>
  <r>
    <n v="174"/>
    <d v="2011-08-05T00:00:00"/>
    <n v="2011"/>
    <x v="6"/>
    <x v="75"/>
    <n v="4"/>
    <x v="1"/>
    <s v="Chad Sievert"/>
    <s v="Consumer"/>
    <s v="United States"/>
    <s v="Los Angeles"/>
    <s v="California"/>
    <x v="1"/>
    <x v="0"/>
    <s v="Chairs"/>
    <s v="Global Value Steno Chair, Gray"/>
    <n v="340.14400000000001"/>
    <n v="7"/>
    <n v="0.2"/>
    <n v="21.259"/>
  </r>
  <r>
    <n v="175"/>
    <d v="2011-09-14T00:00:00"/>
    <n v="2011"/>
    <x v="8"/>
    <x v="76"/>
    <n v="5"/>
    <x v="1"/>
    <s v="Jennifer Braxton"/>
    <s v="Corporate"/>
    <s v="United States"/>
    <s v="Chicago"/>
    <s v="Illinois"/>
    <x v="2"/>
    <x v="1"/>
    <s v="Appliances"/>
    <s v="Kensington 7 Outlet MasterPiece HOMEOFFICE Power Control Center"/>
    <n v="52.448"/>
    <n v="2"/>
    <n v="0.8"/>
    <n v="-131.12"/>
  </r>
  <r>
    <n v="176"/>
    <d v="2011-09-14T00:00:00"/>
    <n v="2011"/>
    <x v="8"/>
    <x v="76"/>
    <n v="5"/>
    <x v="1"/>
    <s v="Jennifer Braxton"/>
    <s v="Corporate"/>
    <s v="United States"/>
    <s v="Chicago"/>
    <s v="Illinois"/>
    <x v="2"/>
    <x v="1"/>
    <s v="Labels"/>
    <s v="Avery 51"/>
    <n v="20.16"/>
    <n v="4"/>
    <n v="0.2"/>
    <n v="6.5519999999999996"/>
  </r>
  <r>
    <n v="177"/>
    <d v="2014-04-22T00:00:00"/>
    <n v="2014"/>
    <x v="3"/>
    <x v="77"/>
    <n v="4"/>
    <x v="0"/>
    <s v="Shirley Jackson"/>
    <s v="Consumer"/>
    <s v="United States"/>
    <s v="Houston"/>
    <s v="Texas"/>
    <x v="2"/>
    <x v="1"/>
    <s v="Appliances"/>
    <s v="Acco 7-Outlet Masterpiece Power Center, Wihtout Fax/Phone Line Protection"/>
    <n v="97.263999999999996"/>
    <n v="4"/>
    <n v="0.8"/>
    <n v="-243.16"/>
  </r>
  <r>
    <n v="178"/>
    <d v="2012-11-21T00:00:00"/>
    <n v="2012"/>
    <x v="0"/>
    <x v="78"/>
    <n v="2"/>
    <x v="0"/>
    <s v="Joel Eaton"/>
    <s v="Consumer"/>
    <s v="United States"/>
    <s v="Newark"/>
    <s v="Ohio"/>
    <x v="3"/>
    <x v="0"/>
    <s v="Chairs"/>
    <s v="Padded Folding Chairs, Black, 4/Carton"/>
    <n v="396.80200000000002"/>
    <n v="7"/>
    <n v="0.3"/>
    <n v="-11.337199999999999"/>
  </r>
  <r>
    <n v="179"/>
    <d v="2012-11-21T00:00:00"/>
    <n v="2012"/>
    <x v="0"/>
    <x v="78"/>
    <n v="2"/>
    <x v="0"/>
    <s v="Joel Eaton"/>
    <s v="Consumer"/>
    <s v="United States"/>
    <s v="Newark"/>
    <s v="Ohio"/>
    <x v="3"/>
    <x v="1"/>
    <s v="Supplies"/>
    <s v="Acme Rosewood Handle Letter Opener"/>
    <n v="15.88"/>
    <n v="5"/>
    <n v="0.2"/>
    <n v="-3.7715000000000001"/>
  </r>
  <r>
    <n v="180"/>
    <d v="2012-12-15T00:00:00"/>
    <n v="2012"/>
    <x v="4"/>
    <x v="79"/>
    <n v="4"/>
    <x v="1"/>
    <s v="Jim Kriz"/>
    <s v="Home Office"/>
    <s v="United States"/>
    <s v="New York City"/>
    <s v="New York"/>
    <x v="3"/>
    <x v="1"/>
    <s v="Art"/>
    <s v="Sanford Colorific Eraseable Coloring Pencils, 12 Count"/>
    <n v="3.28"/>
    <n v="1"/>
    <n v="0"/>
    <n v="1.4104000000000001"/>
  </r>
  <r>
    <n v="181"/>
    <d v="2011-12-05T00:00:00"/>
    <n v="2011"/>
    <x v="4"/>
    <x v="80"/>
    <n v="4"/>
    <x v="0"/>
    <s v="David Kendrick"/>
    <s v="Corporate"/>
    <s v="United States"/>
    <s v="Decatur"/>
    <s v="Illinois"/>
    <x v="2"/>
    <x v="1"/>
    <s v="Storage"/>
    <s v="Tenex File Box, Personal Filing Tote with Lid, Black"/>
    <n v="24.815999999999999"/>
    <n v="2"/>
    <n v="0.2"/>
    <n v="1.8612"/>
  </r>
  <r>
    <n v="182"/>
    <d v="2011-12-05T00:00:00"/>
    <n v="2011"/>
    <x v="4"/>
    <x v="80"/>
    <n v="4"/>
    <x v="0"/>
    <s v="David Kendrick"/>
    <s v="Corporate"/>
    <s v="United States"/>
    <s v="Decatur"/>
    <s v="Illinois"/>
    <x v="2"/>
    <x v="2"/>
    <s v="Accessories"/>
    <s v="Imation Secure+ Hardware Encrypted USB 2.0 Flash Drive; 16GB"/>
    <n v="408.74400000000003"/>
    <n v="7"/>
    <n v="0.2"/>
    <n v="76.639499999999998"/>
  </r>
  <r>
    <n v="183"/>
    <d v="2011-11-19T00:00:00"/>
    <n v="2011"/>
    <x v="0"/>
    <x v="81"/>
    <n v="5"/>
    <x v="0"/>
    <s v="Robert Marley"/>
    <s v="Home Office"/>
    <s v="United States"/>
    <s v="Monroe"/>
    <s v="Louisiana"/>
    <x v="0"/>
    <x v="2"/>
    <s v="Phones"/>
    <s v="AT&amp;T TR1909W"/>
    <n v="503.96"/>
    <n v="4"/>
    <n v="0"/>
    <n v="131.02959999999999"/>
  </r>
  <r>
    <n v="184"/>
    <d v="2011-11-19T00:00:00"/>
    <n v="2011"/>
    <x v="0"/>
    <x v="81"/>
    <n v="5"/>
    <x v="0"/>
    <s v="Robert Marley"/>
    <s v="Home Office"/>
    <s v="United States"/>
    <s v="Monroe"/>
    <s v="Louisiana"/>
    <x v="0"/>
    <x v="2"/>
    <s v="Phones"/>
    <s v="Nokia Lumia 521 (T-Mobile)"/>
    <n v="149.94999999999999"/>
    <n v="5"/>
    <n v="0"/>
    <n v="41.985999999999997"/>
  </r>
  <r>
    <n v="185"/>
    <d v="2011-11-19T00:00:00"/>
    <n v="2011"/>
    <x v="0"/>
    <x v="81"/>
    <n v="5"/>
    <x v="0"/>
    <s v="Robert Marley"/>
    <s v="Home Office"/>
    <s v="United States"/>
    <s v="Monroe"/>
    <s v="Louisiana"/>
    <x v="0"/>
    <x v="2"/>
    <s v="Accessories"/>
    <s v="HP Standard 104 key PS/2 Keyboard"/>
    <n v="29"/>
    <n v="2"/>
    <n v="0"/>
    <n v="7.25"/>
  </r>
  <r>
    <n v="186"/>
    <d v="2013-11-29T00:00:00"/>
    <n v="2013"/>
    <x v="0"/>
    <x v="82"/>
    <n v="4"/>
    <x v="1"/>
    <s v="Sally Knutson"/>
    <s v="Consumer"/>
    <s v="United States"/>
    <s v="Fairfield"/>
    <s v="Connecticut"/>
    <x v="3"/>
    <x v="1"/>
    <s v="Binders"/>
    <s v="Avery Poly Binder Pockets"/>
    <n v="7.16"/>
    <n v="2"/>
    <n v="0"/>
    <n v="3.4367999999999999"/>
  </r>
  <r>
    <n v="187"/>
    <d v="2011-08-26T00:00:00"/>
    <n v="2011"/>
    <x v="6"/>
    <x v="83"/>
    <n v="4"/>
    <x v="1"/>
    <s v="Frank Merwin"/>
    <s v="Home Office"/>
    <s v="United States"/>
    <s v="Los Angeles"/>
    <s v="California"/>
    <x v="1"/>
    <x v="2"/>
    <s v="Accessories"/>
    <s v="SanDisk Ultra 32 GB MicroSDHC Class 10 Memory Card"/>
    <n v="176.8"/>
    <n v="8"/>
    <n v="0"/>
    <n v="22.984000000000002"/>
  </r>
  <r>
    <n v="188"/>
    <d v="2013-07-17T00:00:00"/>
    <n v="2013"/>
    <x v="7"/>
    <x v="18"/>
    <n v="6"/>
    <x v="1"/>
    <s v="Alice McCarthy"/>
    <s v="Corporate"/>
    <s v="United States"/>
    <s v="Grand Prairie"/>
    <s v="Texas"/>
    <x v="2"/>
    <x v="1"/>
    <s v="Storage"/>
    <s v="Personal Filing Tote with Lid, Black/Gray"/>
    <n v="37.223999999999997"/>
    <n v="3"/>
    <n v="0.2"/>
    <n v="3.7223999999999999"/>
  </r>
  <r>
    <n v="189"/>
    <d v="2013-07-17T00:00:00"/>
    <n v="2013"/>
    <x v="7"/>
    <x v="18"/>
    <n v="6"/>
    <x v="1"/>
    <s v="Alice McCarthy"/>
    <s v="Corporate"/>
    <s v="United States"/>
    <s v="Grand Prairie"/>
    <s v="Texas"/>
    <x v="2"/>
    <x v="1"/>
    <s v="Paper"/>
    <s v="Southworth 25% Cotton Antique Laid Paper &amp; Envelopes"/>
    <n v="20.015999999999998"/>
    <n v="3"/>
    <n v="0.2"/>
    <n v="6.2549999999999999"/>
  </r>
  <r>
    <n v="190"/>
    <d v="2012-10-12T00:00:00"/>
    <n v="2012"/>
    <x v="2"/>
    <x v="84"/>
    <n v="2"/>
    <x v="2"/>
    <s v="Mark Packer"/>
    <s v="Home Office"/>
    <s v="United States"/>
    <s v="New York City"/>
    <s v="New York"/>
    <x v="3"/>
    <x v="0"/>
    <s v="Bookcases"/>
    <s v="Atlantic Metals Mobile 4-Shelf Bookcases, Custom Colors"/>
    <n v="899.13599999999997"/>
    <n v="4"/>
    <n v="0.2"/>
    <n v="112.392"/>
  </r>
  <r>
    <n v="191"/>
    <d v="2012-10-12T00:00:00"/>
    <n v="2012"/>
    <x v="2"/>
    <x v="84"/>
    <n v="2"/>
    <x v="2"/>
    <s v="Mark Packer"/>
    <s v="Home Office"/>
    <s v="United States"/>
    <s v="New York City"/>
    <s v="New York"/>
    <x v="3"/>
    <x v="2"/>
    <s v="Phones"/>
    <s v="I Need's 3d Hello Kitty Hybrid Silicone Case Cover for HTC One X 4g with 3d Hello Kitty Stylus Pen Green/pink"/>
    <n v="71.760000000000005"/>
    <n v="6"/>
    <n v="0"/>
    <n v="20.0928"/>
  </r>
  <r>
    <n v="192"/>
    <d v="2012-10-12T00:00:00"/>
    <n v="2012"/>
    <x v="2"/>
    <x v="84"/>
    <n v="2"/>
    <x v="2"/>
    <s v="Mark Packer"/>
    <s v="Home Office"/>
    <s v="United States"/>
    <s v="New York City"/>
    <s v="New York"/>
    <x v="3"/>
    <x v="1"/>
    <s v="Paper"/>
    <s v="Xerox 205"/>
    <n v="51.84"/>
    <n v="8"/>
    <n v="0"/>
    <n v="24.883199999999999"/>
  </r>
  <r>
    <n v="193"/>
    <d v="2012-10-12T00:00:00"/>
    <n v="2012"/>
    <x v="2"/>
    <x v="84"/>
    <n v="2"/>
    <x v="2"/>
    <s v="Mark Packer"/>
    <s v="Home Office"/>
    <s v="United States"/>
    <s v="New York City"/>
    <s v="New York"/>
    <x v="3"/>
    <x v="0"/>
    <s v="Bookcases"/>
    <s v="Atlantic Metals Mobile 3-Shelf Bookcases, Custom Colors"/>
    <n v="626.35199999999998"/>
    <n v="3"/>
    <n v="0.2"/>
    <n v="46.976399999999998"/>
  </r>
  <r>
    <n v="194"/>
    <d v="2012-10-12T00:00:00"/>
    <n v="2012"/>
    <x v="2"/>
    <x v="84"/>
    <n v="2"/>
    <x v="2"/>
    <s v="Mark Packer"/>
    <s v="Home Office"/>
    <s v="United States"/>
    <s v="New York City"/>
    <s v="New York"/>
    <x v="3"/>
    <x v="1"/>
    <s v="Art"/>
    <s v="4009 Highlighters by Sanford"/>
    <n v="19.899999999999999"/>
    <n v="5"/>
    <n v="0"/>
    <n v="6.5670000000000002"/>
  </r>
  <r>
    <n v="195"/>
    <d v="2012-10-31T00:00:00"/>
    <n v="2012"/>
    <x v="2"/>
    <x v="85"/>
    <n v="6"/>
    <x v="1"/>
    <s v="Mary Zewe"/>
    <s v="Corporate"/>
    <s v="United States"/>
    <s v="Redlands"/>
    <s v="California"/>
    <x v="1"/>
    <x v="1"/>
    <s v="Envelopes"/>
    <s v="Poly String Tie Envelopes"/>
    <n v="14.28"/>
    <n v="7"/>
    <n v="0"/>
    <n v="6.7115999999999998"/>
  </r>
  <r>
    <n v="196"/>
    <d v="2011-03-21T00:00:00"/>
    <n v="2011"/>
    <x v="10"/>
    <x v="86"/>
    <n v="4"/>
    <x v="1"/>
    <s v="Cassandra Brandow"/>
    <s v="Consumer"/>
    <s v="United States"/>
    <s v="Hamilton"/>
    <s v="Ohio"/>
    <x v="3"/>
    <x v="1"/>
    <s v="Art"/>
    <s v="Binney &amp; Smith Crayola Metallic Colored Pencils, 8-Color Set"/>
    <n v="7.4080000000000004"/>
    <n v="2"/>
    <n v="0.2"/>
    <n v="1.2038"/>
  </r>
  <r>
    <n v="197"/>
    <d v="2011-03-21T00:00:00"/>
    <n v="2011"/>
    <x v="10"/>
    <x v="86"/>
    <n v="4"/>
    <x v="1"/>
    <s v="Cassandra Brandow"/>
    <s v="Consumer"/>
    <s v="United States"/>
    <s v="Hamilton"/>
    <s v="Ohio"/>
    <x v="3"/>
    <x v="1"/>
    <s v="Art"/>
    <s v="Binney &amp; Smith inkTank Erasable Desk Highlighter, Chisel Tip, Yellow, 12/Box"/>
    <n v="6.048"/>
    <n v="3"/>
    <n v="0.2"/>
    <n v="1.5875999999999999"/>
  </r>
  <r>
    <n v="198"/>
    <d v="2014-11-07T00:00:00"/>
    <n v="2014"/>
    <x v="0"/>
    <x v="87"/>
    <n v="7"/>
    <x v="1"/>
    <s v="Valerie Mitchum"/>
    <s v="Home Office"/>
    <s v="United States"/>
    <s v="Westfield"/>
    <s v="New Jersey"/>
    <x v="3"/>
    <x v="1"/>
    <s v="Storage"/>
    <s v="Decoflex Hanging Personal Folder File"/>
    <n v="46.26"/>
    <n v="3"/>
    <n v="0"/>
    <n v="12.0276"/>
  </r>
  <r>
    <n v="199"/>
    <d v="2014-07-07T00:00:00"/>
    <n v="2014"/>
    <x v="7"/>
    <x v="88"/>
    <n v="7"/>
    <x v="1"/>
    <s v="Fred Hopkins"/>
    <s v="Corporate"/>
    <s v="United States"/>
    <s v="Philadelphia"/>
    <s v="Pennsylvania"/>
    <x v="3"/>
    <x v="1"/>
    <s v="Binders"/>
    <s v="Pressboard Covers with Storage Hooks, 9 1/2&quot; x 11&quot;, Light Blue"/>
    <n v="2.9460000000000002"/>
    <n v="2"/>
    <n v="0.7"/>
    <n v="-2.2585999999999999"/>
  </r>
  <r>
    <n v="200"/>
    <d v="2014-07-07T00:00:00"/>
    <n v="2014"/>
    <x v="7"/>
    <x v="88"/>
    <n v="7"/>
    <x v="1"/>
    <s v="Fred Hopkins"/>
    <s v="Corporate"/>
    <s v="United States"/>
    <s v="Philadelphia"/>
    <s v="Pennsylvania"/>
    <x v="3"/>
    <x v="1"/>
    <s v="Paper"/>
    <s v="Wirebound Message Books, 5-1/2 x 4 Forms, 2 or 4 Forms per Page"/>
    <n v="16.056000000000001"/>
    <n v="3"/>
    <n v="0.2"/>
    <n v="5.8202999999999996"/>
  </r>
  <r>
    <n v="201"/>
    <d v="2014-06-25T00:00:00"/>
    <n v="2014"/>
    <x v="1"/>
    <x v="89"/>
    <n v="5"/>
    <x v="1"/>
    <s v="Maria Bertelson"/>
    <s v="Consumer"/>
    <s v="United States"/>
    <s v="Akron"/>
    <s v="Ohio"/>
    <x v="3"/>
    <x v="1"/>
    <s v="Paper"/>
    <s v="Southworth 25% Cotton Linen-Finish Paper &amp; Envelopes"/>
    <n v="21.744"/>
    <n v="3"/>
    <n v="0.2"/>
    <n v="6.7949999999999999"/>
  </r>
  <r>
    <n v="202"/>
    <d v="2011-08-03T00:00:00"/>
    <n v="2011"/>
    <x v="6"/>
    <x v="90"/>
    <n v="2"/>
    <x v="2"/>
    <s v="Bruce Stewart"/>
    <s v="Consumer"/>
    <s v="United States"/>
    <s v="Denver"/>
    <s v="Colorado"/>
    <x v="1"/>
    <x v="0"/>
    <s v="Tables"/>
    <s v="BoxOffice By Design Rectangular and Half-Moon Meeting Room Tables"/>
    <n v="218.75"/>
    <n v="2"/>
    <n v="0.5"/>
    <n v="-161.875"/>
  </r>
  <r>
    <n v="203"/>
    <d v="2011-08-03T00:00:00"/>
    <n v="2011"/>
    <x v="6"/>
    <x v="90"/>
    <n v="2"/>
    <x v="2"/>
    <s v="Bruce Stewart"/>
    <s v="Consumer"/>
    <s v="United States"/>
    <s v="Denver"/>
    <s v="Colorado"/>
    <x v="1"/>
    <x v="1"/>
    <s v="Appliances"/>
    <s v="Bravo II Megaboss 12-Amp Hard Body Upright, Replacement Belts, 2 Belts per Pack"/>
    <n v="2.6"/>
    <n v="1"/>
    <n v="0.2"/>
    <n v="0.29249999999999998"/>
  </r>
  <r>
    <n v="204"/>
    <d v="2014-12-18T00:00:00"/>
    <n v="2014"/>
    <x v="4"/>
    <x v="91"/>
    <n v="4"/>
    <x v="0"/>
    <s v="Logan Currie"/>
    <s v="Consumer"/>
    <s v="United States"/>
    <s v="Dallas"/>
    <s v="Texas"/>
    <x v="2"/>
    <x v="1"/>
    <s v="Appliances"/>
    <s v="Eureka Sanitaire  Commercial Upright"/>
    <n v="66.284000000000006"/>
    <n v="2"/>
    <n v="0.8"/>
    <n v="-178.96680000000001"/>
  </r>
  <r>
    <n v="205"/>
    <d v="2014-06-04T00:00:00"/>
    <n v="2014"/>
    <x v="1"/>
    <x v="92"/>
    <n v="4"/>
    <x v="1"/>
    <s v="Heather Kirkland"/>
    <s v="Corporate"/>
    <s v="United States"/>
    <s v="Franklin"/>
    <s v="Tennessee"/>
    <x v="0"/>
    <x v="0"/>
    <s v="Furnishings"/>
    <s v="Eldon 200 Class Desk Accessories, Burgundy"/>
    <n v="35.167999999999999"/>
    <n v="7"/>
    <n v="0.2"/>
    <n v="9.6712000000000007"/>
  </r>
  <r>
    <n v="206"/>
    <d v="2014-12-10T00:00:00"/>
    <n v="2014"/>
    <x v="4"/>
    <x v="93"/>
    <n v="5"/>
    <x v="1"/>
    <s v="Laurel Elliston"/>
    <s v="Consumer"/>
    <s v="United States"/>
    <s v="Whittier"/>
    <s v="California"/>
    <x v="1"/>
    <x v="2"/>
    <s v="Phones"/>
    <s v="Nortel Business Series Terminal T7208 Digital phone"/>
    <n v="444.76799999999997"/>
    <n v="4"/>
    <n v="0.2"/>
    <n v="44.476799999999997"/>
  </r>
  <r>
    <n v="207"/>
    <d v="2014-12-02T00:00:00"/>
    <n v="2014"/>
    <x v="4"/>
    <x v="94"/>
    <n v="6"/>
    <x v="1"/>
    <s v="Joseph Holt"/>
    <s v="Consumer"/>
    <s v="United States"/>
    <s v="Saginaw"/>
    <s v="Michigan"/>
    <x v="2"/>
    <x v="1"/>
    <s v="Storage"/>
    <s v="Tennsco Lockers, Gray"/>
    <n v="83.92"/>
    <n v="4"/>
    <n v="0"/>
    <n v="5.8743999999999996"/>
  </r>
  <r>
    <n v="208"/>
    <d v="2014-12-02T00:00:00"/>
    <n v="2014"/>
    <x v="4"/>
    <x v="94"/>
    <n v="6"/>
    <x v="1"/>
    <s v="Joseph Holt"/>
    <s v="Consumer"/>
    <s v="United States"/>
    <s v="Saginaw"/>
    <s v="Michigan"/>
    <x v="2"/>
    <x v="2"/>
    <s v="Phones"/>
    <s v="Panasonic KX-TG6844B Expandable Digital Cordless Telephone"/>
    <n v="131.97999999999999"/>
    <n v="2"/>
    <n v="0"/>
    <n v="35.634599999999999"/>
  </r>
  <r>
    <n v="209"/>
    <d v="2014-12-02T00:00:00"/>
    <n v="2014"/>
    <x v="4"/>
    <x v="94"/>
    <n v="6"/>
    <x v="1"/>
    <s v="Joseph Holt"/>
    <s v="Consumer"/>
    <s v="United States"/>
    <s v="Saginaw"/>
    <s v="Michigan"/>
    <x v="2"/>
    <x v="1"/>
    <s v="Binders"/>
    <s v="Avery Durable Slant Ring Binders, No Labels"/>
    <n v="15.92"/>
    <n v="4"/>
    <n v="0"/>
    <n v="7.4824000000000002"/>
  </r>
  <r>
    <n v="210"/>
    <d v="2014-12-02T00:00:00"/>
    <n v="2014"/>
    <x v="4"/>
    <x v="94"/>
    <n v="6"/>
    <x v="1"/>
    <s v="Joseph Holt"/>
    <s v="Consumer"/>
    <s v="United States"/>
    <s v="Saginaw"/>
    <s v="Michigan"/>
    <x v="2"/>
    <x v="1"/>
    <s v="Fasteners"/>
    <s v="Advantus Push Pins, Aluminum Head"/>
    <n v="52.29"/>
    <n v="9"/>
    <n v="0"/>
    <n v="16.209900000000001"/>
  </r>
  <r>
    <n v="211"/>
    <d v="2014-12-02T00:00:00"/>
    <n v="2014"/>
    <x v="4"/>
    <x v="94"/>
    <n v="6"/>
    <x v="1"/>
    <s v="Joseph Holt"/>
    <s v="Consumer"/>
    <s v="United States"/>
    <s v="Saginaw"/>
    <s v="Michigan"/>
    <x v="2"/>
    <x v="1"/>
    <s v="Storage"/>
    <s v="Gould Plastics 18-Pocket Panel Bin, 34w x 5-1/4d x 20-1/2h"/>
    <n v="91.99"/>
    <n v="1"/>
    <n v="0"/>
    <n v="3.6796000000000002"/>
  </r>
  <r>
    <n v="212"/>
    <d v="2012-02-09T00:00:00"/>
    <n v="2012"/>
    <x v="11"/>
    <x v="95"/>
    <n v="4"/>
    <x v="0"/>
    <s v="Michael Stewart"/>
    <s v="Corporate"/>
    <s v="United States"/>
    <s v="Dallas"/>
    <s v="Texas"/>
    <x v="2"/>
    <x v="2"/>
    <s v="Accessories"/>
    <s v="Memorex Micro Travel Drive 8 GB"/>
    <n v="20.8"/>
    <n v="2"/>
    <n v="0.2"/>
    <n v="6.5"/>
  </r>
  <r>
    <n v="213"/>
    <d v="2012-01-02T00:00:00"/>
    <n v="2012"/>
    <x v="9"/>
    <x v="96"/>
    <n v="7"/>
    <x v="1"/>
    <s v="Victoria Wilson"/>
    <s v="Corporate"/>
    <s v="United States"/>
    <s v="Medina"/>
    <s v="Ohio"/>
    <x v="3"/>
    <x v="1"/>
    <s v="Labels"/>
    <s v="Avery 505"/>
    <n v="23.68"/>
    <n v="2"/>
    <n v="0.2"/>
    <n v="8.8800000000000008"/>
  </r>
  <r>
    <n v="214"/>
    <d v="2012-01-02T00:00:00"/>
    <n v="2012"/>
    <x v="9"/>
    <x v="96"/>
    <n v="7"/>
    <x v="1"/>
    <s v="Victoria Wilson"/>
    <s v="Corporate"/>
    <s v="United States"/>
    <s v="Medina"/>
    <s v="Ohio"/>
    <x v="3"/>
    <x v="0"/>
    <s v="Bookcases"/>
    <s v="O'Sullivan 2-Door Barrister Bookcase in Odessa Pine"/>
    <n v="452.45"/>
    <n v="5"/>
    <n v="0.5"/>
    <n v="-244.32300000000001"/>
  </r>
  <r>
    <n v="215"/>
    <d v="2012-01-02T00:00:00"/>
    <n v="2012"/>
    <x v="9"/>
    <x v="96"/>
    <n v="7"/>
    <x v="1"/>
    <s v="Victoria Wilson"/>
    <s v="Corporate"/>
    <s v="United States"/>
    <s v="Medina"/>
    <s v="Ohio"/>
    <x v="3"/>
    <x v="2"/>
    <s v="Phones"/>
    <s v="Speck Products Candyshell Flip Case"/>
    <n v="62.981999999999999"/>
    <n v="3"/>
    <n v="0.4"/>
    <n v="-14.6958"/>
  </r>
  <r>
    <n v="216"/>
    <d v="2012-01-02T00:00:00"/>
    <n v="2012"/>
    <x v="9"/>
    <x v="96"/>
    <n v="7"/>
    <x v="1"/>
    <s v="Victoria Wilson"/>
    <s v="Corporate"/>
    <s v="United States"/>
    <s v="Medina"/>
    <s v="Ohio"/>
    <x v="3"/>
    <x v="2"/>
    <s v="Machines"/>
    <s v="Cisco 9971 IP Video Phone Charcoal"/>
    <n v="1188"/>
    <n v="9"/>
    <n v="0.7"/>
    <n v="-950.4"/>
  </r>
  <r>
    <n v="217"/>
    <d v="2012-01-02T00:00:00"/>
    <n v="2012"/>
    <x v="9"/>
    <x v="96"/>
    <n v="7"/>
    <x v="1"/>
    <s v="Victoria Wilson"/>
    <s v="Corporate"/>
    <s v="United States"/>
    <s v="Medina"/>
    <s v="Ohio"/>
    <x v="3"/>
    <x v="2"/>
    <s v="Accessories"/>
    <s v="Sony Micro Vault Click 16 GB USB 2.0 Flash Drive"/>
    <n v="89.584000000000003"/>
    <n v="2"/>
    <n v="0.2"/>
    <n v="4.4791999999999996"/>
  </r>
  <r>
    <n v="218"/>
    <d v="2013-10-29T00:00:00"/>
    <n v="2013"/>
    <x v="2"/>
    <x v="97"/>
    <n v="4"/>
    <x v="1"/>
    <s v="Jonathan Howell"/>
    <s v="Consumer"/>
    <s v="United States"/>
    <s v="Los Angeles"/>
    <s v="California"/>
    <x v="1"/>
    <x v="1"/>
    <s v="Storage"/>
    <s v="Personal Filing Tote with Lid, Black/Gray"/>
    <n v="93.06"/>
    <n v="6"/>
    <n v="0"/>
    <n v="26.056799999999999"/>
  </r>
  <r>
    <n v="219"/>
    <d v="2013-10-29T00:00:00"/>
    <n v="2013"/>
    <x v="2"/>
    <x v="97"/>
    <n v="4"/>
    <x v="1"/>
    <s v="Jonathan Howell"/>
    <s v="Consumer"/>
    <s v="United States"/>
    <s v="Los Angeles"/>
    <s v="California"/>
    <x v="1"/>
    <x v="2"/>
    <s v="Phones"/>
    <s v="Adtran 1202752G1"/>
    <n v="302.37599999999998"/>
    <n v="3"/>
    <n v="0.2"/>
    <n v="22.6782"/>
  </r>
  <r>
    <n v="220"/>
    <d v="2012-12-24T00:00:00"/>
    <n v="2012"/>
    <x v="4"/>
    <x v="98"/>
    <n v="3"/>
    <x v="2"/>
    <s v="Joni Blumstein"/>
    <s v="Consumer"/>
    <s v="United States"/>
    <s v="Dublin"/>
    <s v="Ohio"/>
    <x v="3"/>
    <x v="1"/>
    <s v="Fasteners"/>
    <s v="OIC Bulk Pack Metal Binder Clips"/>
    <n v="5.5839999999999996"/>
    <n v="2"/>
    <n v="0.2"/>
    <n v="1.8148"/>
  </r>
  <r>
    <n v="221"/>
    <d v="2012-12-24T00:00:00"/>
    <n v="2012"/>
    <x v="4"/>
    <x v="98"/>
    <n v="3"/>
    <x v="2"/>
    <s v="Joni Blumstein"/>
    <s v="Consumer"/>
    <s v="United States"/>
    <s v="Dublin"/>
    <s v="Ohio"/>
    <x v="3"/>
    <x v="1"/>
    <s v="Paper"/>
    <s v="While You Were Out Pads, 50 per Pad, 4 x 5 1/4, Green Cycle"/>
    <n v="22.704000000000001"/>
    <n v="6"/>
    <n v="0.2"/>
    <n v="8.2302"/>
  </r>
  <r>
    <n v="222"/>
    <d v="2012-12-24T00:00:00"/>
    <n v="2012"/>
    <x v="4"/>
    <x v="98"/>
    <n v="3"/>
    <x v="2"/>
    <s v="Joni Blumstein"/>
    <s v="Consumer"/>
    <s v="United States"/>
    <s v="Dublin"/>
    <s v="Ohio"/>
    <x v="3"/>
    <x v="1"/>
    <s v="Binders"/>
    <s v="Ibico Standard Transparent Covers"/>
    <n v="19.776"/>
    <n v="4"/>
    <n v="0.7"/>
    <n v="-13.8432"/>
  </r>
  <r>
    <n v="223"/>
    <d v="2012-12-24T00:00:00"/>
    <n v="2012"/>
    <x v="4"/>
    <x v="98"/>
    <n v="3"/>
    <x v="2"/>
    <s v="Joni Blumstein"/>
    <s v="Consumer"/>
    <s v="United States"/>
    <s v="Dublin"/>
    <s v="Ohio"/>
    <x v="3"/>
    <x v="0"/>
    <s v="Furnishings"/>
    <s v="Executive Impressions 14&quot; Two-Color Numerals Wall Clock"/>
    <n v="72.703999999999994"/>
    <n v="4"/>
    <n v="0.2"/>
    <n v="19.084800000000001"/>
  </r>
  <r>
    <n v="224"/>
    <d v="2012-12-24T00:00:00"/>
    <n v="2012"/>
    <x v="4"/>
    <x v="98"/>
    <n v="3"/>
    <x v="2"/>
    <s v="Joni Blumstein"/>
    <s v="Consumer"/>
    <s v="United States"/>
    <s v="Dublin"/>
    <s v="Ohio"/>
    <x v="3"/>
    <x v="2"/>
    <s v="Machines"/>
    <s v="Swingline SM12-08 MicroCut Jam Free Shredder"/>
    <n v="479.988"/>
    <n v="4"/>
    <n v="0.7"/>
    <n v="-383.99040000000002"/>
  </r>
  <r>
    <n v="225"/>
    <d v="2012-12-24T00:00:00"/>
    <n v="2012"/>
    <x v="4"/>
    <x v="98"/>
    <n v="3"/>
    <x v="2"/>
    <s v="Joni Blumstein"/>
    <s v="Consumer"/>
    <s v="United States"/>
    <s v="Dublin"/>
    <s v="Ohio"/>
    <x v="3"/>
    <x v="1"/>
    <s v="Art"/>
    <s v="Stanley Bostitch Contemporary Electric Pencil Sharpeners"/>
    <n v="27.167999999999999"/>
    <n v="2"/>
    <n v="0.2"/>
    <n v="2.7168000000000001"/>
  </r>
  <r>
    <n v="226"/>
    <d v="2012-08-09T00:00:00"/>
    <n v="2012"/>
    <x v="6"/>
    <x v="99"/>
    <n v="7"/>
    <x v="1"/>
    <s v="David Smith"/>
    <s v="Corporate"/>
    <s v="United States"/>
    <s v="Detroit"/>
    <s v="Michigan"/>
    <x v="2"/>
    <x v="1"/>
    <s v="Art"/>
    <s v="Sanford Uni-Blazer View Highlighters, Chisel Tip, Yellow"/>
    <n v="2.2000000000000002"/>
    <n v="1"/>
    <n v="0"/>
    <n v="0.96799999999999997"/>
  </r>
  <r>
    <n v="227"/>
    <d v="2012-08-09T00:00:00"/>
    <n v="2012"/>
    <x v="6"/>
    <x v="99"/>
    <n v="7"/>
    <x v="1"/>
    <s v="David Smith"/>
    <s v="Corporate"/>
    <s v="United States"/>
    <s v="Detroit"/>
    <s v="Michigan"/>
    <x v="2"/>
    <x v="0"/>
    <s v="Tables"/>
    <s v="Bevis 36 x 72 Conference Tables"/>
    <n v="622.45000000000005"/>
    <n v="5"/>
    <n v="0"/>
    <n v="136.93899999999999"/>
  </r>
  <r>
    <n v="228"/>
    <d v="2012-08-09T00:00:00"/>
    <n v="2012"/>
    <x v="6"/>
    <x v="99"/>
    <n v="7"/>
    <x v="1"/>
    <s v="David Smith"/>
    <s v="Corporate"/>
    <s v="United States"/>
    <s v="Detroit"/>
    <s v="Michigan"/>
    <x v="2"/>
    <x v="1"/>
    <s v="Storage"/>
    <s v="Rogers Deluxe File Chest"/>
    <n v="21.98"/>
    <n v="1"/>
    <n v="0"/>
    <n v="0.2198"/>
  </r>
  <r>
    <n v="229"/>
    <d v="2012-02-28T00:00:00"/>
    <n v="2012"/>
    <x v="11"/>
    <x v="100"/>
    <n v="5"/>
    <x v="1"/>
    <s v="Valerie Dominguez"/>
    <s v="Consumer"/>
    <s v="United States"/>
    <s v="Columbia"/>
    <s v="Tennessee"/>
    <x v="0"/>
    <x v="0"/>
    <s v="Chairs"/>
    <s v="Global Low Back Tilter Chair"/>
    <n v="161.56800000000001"/>
    <n v="2"/>
    <n v="0.2"/>
    <n v="-28.2744"/>
  </r>
  <r>
    <n v="230"/>
    <d v="2012-02-28T00:00:00"/>
    <n v="2012"/>
    <x v="11"/>
    <x v="100"/>
    <n v="5"/>
    <x v="1"/>
    <s v="Valerie Dominguez"/>
    <s v="Consumer"/>
    <s v="United States"/>
    <s v="Columbia"/>
    <s v="Tennessee"/>
    <x v="0"/>
    <x v="0"/>
    <s v="Chairs"/>
    <s v="Global Push Button Manager's Chair, Indigo"/>
    <n v="389.69600000000003"/>
    <n v="8"/>
    <n v="0.2"/>
    <n v="43.840800000000002"/>
  </r>
  <r>
    <n v="231"/>
    <d v="2011-09-13T00:00:00"/>
    <n v="2011"/>
    <x v="8"/>
    <x v="101"/>
    <n v="4"/>
    <x v="1"/>
    <s v="Erin Ashbrook"/>
    <s v="Corporate"/>
    <s v="United States"/>
    <s v="Charlotte"/>
    <s v="North Carolina"/>
    <x v="0"/>
    <x v="1"/>
    <s v="Binders"/>
    <s v="GBC Instant Index System for Binding Systems"/>
    <n v="18.648"/>
    <n v="7"/>
    <n v="0.7"/>
    <n v="-12.432"/>
  </r>
  <r>
    <n v="232"/>
    <d v="2014-04-08T00:00:00"/>
    <n v="2014"/>
    <x v="3"/>
    <x v="102"/>
    <n v="5"/>
    <x v="1"/>
    <s v="Christopher Schild"/>
    <s v="Home Office"/>
    <s v="United States"/>
    <s v="Tampa"/>
    <s v="Florida"/>
    <x v="0"/>
    <x v="0"/>
    <s v="Tables"/>
    <s v="Bush Advantage Collection Round Conference Table"/>
    <n v="233.86"/>
    <n v="2"/>
    <n v="0.45"/>
    <n v="-102.048"/>
  </r>
  <r>
    <n v="233"/>
    <d v="2014-04-08T00:00:00"/>
    <n v="2014"/>
    <x v="3"/>
    <x v="102"/>
    <n v="5"/>
    <x v="1"/>
    <s v="Christopher Schild"/>
    <s v="Home Office"/>
    <s v="United States"/>
    <s v="Tampa"/>
    <s v="Florida"/>
    <x v="0"/>
    <x v="0"/>
    <s v="Tables"/>
    <s v="Bretford Rectangular Conference Table Tops"/>
    <n v="620.61450000000002"/>
    <n v="3"/>
    <n v="0.45"/>
    <n v="-248.2458"/>
  </r>
  <r>
    <n v="234"/>
    <d v="2014-04-08T00:00:00"/>
    <n v="2014"/>
    <x v="3"/>
    <x v="102"/>
    <n v="5"/>
    <x v="1"/>
    <s v="Christopher Schild"/>
    <s v="Home Office"/>
    <s v="United States"/>
    <s v="Tampa"/>
    <s v="Florida"/>
    <x v="0"/>
    <x v="1"/>
    <s v="Binders"/>
    <s v="GBC Instant Index System for Binding Systems"/>
    <n v="5.3280000000000003"/>
    <n v="2"/>
    <n v="0.7"/>
    <n v="-3.552"/>
  </r>
  <r>
    <n v="235"/>
    <d v="2014-04-08T00:00:00"/>
    <n v="2014"/>
    <x v="3"/>
    <x v="102"/>
    <n v="5"/>
    <x v="1"/>
    <s v="Christopher Schild"/>
    <s v="Home Office"/>
    <s v="United States"/>
    <s v="Tampa"/>
    <s v="Florida"/>
    <x v="0"/>
    <x v="0"/>
    <s v="Furnishings"/>
    <s v="Tenex Contemporary Contur Chairmats for Low and Medium Pile Carpet, Computer, 39&quot; x 49&quot;"/>
    <n v="258.072"/>
    <n v="3"/>
    <n v="0.2"/>
    <n v="0"/>
  </r>
  <r>
    <n v="236"/>
    <d v="2014-04-08T00:00:00"/>
    <n v="2014"/>
    <x v="3"/>
    <x v="102"/>
    <n v="5"/>
    <x v="1"/>
    <s v="Christopher Schild"/>
    <s v="Home Office"/>
    <s v="United States"/>
    <s v="Tampa"/>
    <s v="Florida"/>
    <x v="0"/>
    <x v="2"/>
    <s v="Accessories"/>
    <s v="Logitech P710e Mobile Speakerphone"/>
    <n v="617.976"/>
    <n v="3"/>
    <n v="0.2"/>
    <n v="-7.7247000000000003"/>
  </r>
  <r>
    <n v="237"/>
    <d v="2014-11-13T00:00:00"/>
    <n v="2014"/>
    <x v="0"/>
    <x v="38"/>
    <n v="4"/>
    <x v="1"/>
    <s v="David Bremer"/>
    <s v="Corporate"/>
    <s v="United States"/>
    <s v="Santa Clara"/>
    <s v="California"/>
    <x v="1"/>
    <x v="1"/>
    <s v="Paper"/>
    <s v="Xerox 4200 Series MultiUse Premium Copy Paper (20Lb. and 84 Bright)"/>
    <n v="10.56"/>
    <n v="2"/>
    <n v="0"/>
    <n v="4.7519999999999998"/>
  </r>
  <r>
    <n v="238"/>
    <d v="2013-06-05T00:00:00"/>
    <n v="2013"/>
    <x v="1"/>
    <x v="103"/>
    <n v="5"/>
    <x v="0"/>
    <s v="Ken Lonsdale"/>
    <s v="Consumer"/>
    <s v="United States"/>
    <s v="Chicago"/>
    <s v="Illinois"/>
    <x v="2"/>
    <x v="1"/>
    <s v="Paper"/>
    <s v="Xerox 1957"/>
    <n v="25.92"/>
    <n v="5"/>
    <n v="0.2"/>
    <n v="9.3960000000000008"/>
  </r>
  <r>
    <n v="239"/>
    <d v="2013-06-05T00:00:00"/>
    <n v="2013"/>
    <x v="1"/>
    <x v="103"/>
    <n v="5"/>
    <x v="0"/>
    <s v="Ken Lonsdale"/>
    <s v="Consumer"/>
    <s v="United States"/>
    <s v="Chicago"/>
    <s v="Illinois"/>
    <x v="2"/>
    <x v="0"/>
    <s v="Furnishings"/>
    <s v="Luxo Professional Fluorescent Magnifier Lamp with Clamp-Mount Base"/>
    <n v="419.68"/>
    <n v="5"/>
    <n v="0.6"/>
    <n v="-356.72800000000001"/>
  </r>
  <r>
    <n v="240"/>
    <d v="2013-06-05T00:00:00"/>
    <n v="2013"/>
    <x v="1"/>
    <x v="103"/>
    <n v="5"/>
    <x v="0"/>
    <s v="Ken Lonsdale"/>
    <s v="Consumer"/>
    <s v="United States"/>
    <s v="Chicago"/>
    <s v="Illinois"/>
    <x v="2"/>
    <x v="0"/>
    <s v="Furnishings"/>
    <s v="Staples"/>
    <n v="11.688000000000001"/>
    <n v="3"/>
    <n v="0.6"/>
    <n v="-4.6752000000000002"/>
  </r>
  <r>
    <n v="241"/>
    <d v="2013-06-05T00:00:00"/>
    <n v="2013"/>
    <x v="1"/>
    <x v="103"/>
    <n v="5"/>
    <x v="0"/>
    <s v="Ken Lonsdale"/>
    <s v="Consumer"/>
    <s v="United States"/>
    <s v="Chicago"/>
    <s v="Illinois"/>
    <x v="2"/>
    <x v="2"/>
    <s v="Phones"/>
    <s v="PureGear Roll-On Screen Protector"/>
    <n v="31.984000000000002"/>
    <n v="2"/>
    <n v="0.2"/>
    <n v="11.1944"/>
  </r>
  <r>
    <n v="242"/>
    <d v="2013-06-05T00:00:00"/>
    <n v="2013"/>
    <x v="1"/>
    <x v="103"/>
    <n v="5"/>
    <x v="0"/>
    <s v="Ken Lonsdale"/>
    <s v="Consumer"/>
    <s v="United States"/>
    <s v="Chicago"/>
    <s v="Illinois"/>
    <x v="2"/>
    <x v="0"/>
    <s v="Tables"/>
    <s v="KI Conference Tables"/>
    <n v="177.22499999999999"/>
    <n v="5"/>
    <n v="0.5"/>
    <n v="-120.51300000000001"/>
  </r>
  <r>
    <n v="243"/>
    <d v="2013-06-05T00:00:00"/>
    <n v="2013"/>
    <x v="1"/>
    <x v="103"/>
    <n v="5"/>
    <x v="0"/>
    <s v="Ken Lonsdale"/>
    <s v="Consumer"/>
    <s v="United States"/>
    <s v="Chicago"/>
    <s v="Illinois"/>
    <x v="2"/>
    <x v="0"/>
    <s v="Furnishings"/>
    <s v="Eldon 100 Class Desk Accessories"/>
    <n v="4.0439999999999996"/>
    <n v="3"/>
    <n v="0.6"/>
    <n v="-2.8308"/>
  </r>
  <r>
    <n v="244"/>
    <d v="2013-06-05T00:00:00"/>
    <n v="2013"/>
    <x v="1"/>
    <x v="103"/>
    <n v="5"/>
    <x v="0"/>
    <s v="Ken Lonsdale"/>
    <s v="Consumer"/>
    <s v="United States"/>
    <s v="Chicago"/>
    <s v="Illinois"/>
    <x v="2"/>
    <x v="1"/>
    <s v="Art"/>
    <s v="Binney &amp; Smith Crayola Metallic Colored Pencils, 8-Color Set"/>
    <n v="7.4080000000000004"/>
    <n v="2"/>
    <n v="0.2"/>
    <n v="1.2038"/>
  </r>
  <r>
    <n v="245"/>
    <d v="2011-06-01T00:00:00"/>
    <n v="2011"/>
    <x v="1"/>
    <x v="104"/>
    <n v="5"/>
    <x v="0"/>
    <s v="Dianna Wilson"/>
    <s v="Home Office"/>
    <s v="United States"/>
    <s v="Lakeville"/>
    <s v="Minnesota"/>
    <x v="2"/>
    <x v="0"/>
    <s v="Chairs"/>
    <s v="Global Deluxe High-Back Manager's Chair"/>
    <n v="2001.86"/>
    <n v="7"/>
    <n v="0"/>
    <n v="580.5394"/>
  </r>
  <r>
    <n v="246"/>
    <d v="2011-06-01T00:00:00"/>
    <n v="2011"/>
    <x v="1"/>
    <x v="104"/>
    <n v="5"/>
    <x v="0"/>
    <s v="Dianna Wilson"/>
    <s v="Home Office"/>
    <s v="United States"/>
    <s v="Lakeville"/>
    <s v="Minnesota"/>
    <x v="2"/>
    <x v="1"/>
    <s v="Storage"/>
    <s v="Safco Steel Mobile File Cart"/>
    <n v="166.72"/>
    <n v="2"/>
    <n v="0"/>
    <n v="41.68"/>
  </r>
  <r>
    <n v="247"/>
    <d v="2011-06-01T00:00:00"/>
    <n v="2011"/>
    <x v="1"/>
    <x v="104"/>
    <n v="5"/>
    <x v="0"/>
    <s v="Dianna Wilson"/>
    <s v="Home Office"/>
    <s v="United States"/>
    <s v="Lakeville"/>
    <s v="Minnesota"/>
    <x v="2"/>
    <x v="1"/>
    <s v="Paper"/>
    <s v="Adams Telephone Message Book w/Frequently-Called Numbers Space, 400 Messages per Book"/>
    <n v="47.88"/>
    <n v="6"/>
    <n v="0"/>
    <n v="23.94"/>
  </r>
  <r>
    <n v="248"/>
    <d v="2011-06-01T00:00:00"/>
    <n v="2011"/>
    <x v="1"/>
    <x v="104"/>
    <n v="5"/>
    <x v="0"/>
    <s v="Dianna Wilson"/>
    <s v="Home Office"/>
    <s v="United States"/>
    <s v="Lakeville"/>
    <s v="Minnesota"/>
    <x v="2"/>
    <x v="1"/>
    <s v="Appliances"/>
    <s v="Honeywell Enviracaire Portable HEPA Air Cleaner for 17' x 22' Room"/>
    <n v="1503.25"/>
    <n v="5"/>
    <n v="0"/>
    <n v="496.07249999999999"/>
  </r>
  <r>
    <n v="249"/>
    <d v="2011-06-01T00:00:00"/>
    <n v="2011"/>
    <x v="1"/>
    <x v="104"/>
    <n v="5"/>
    <x v="0"/>
    <s v="Dianna Wilson"/>
    <s v="Home Office"/>
    <s v="United States"/>
    <s v="Lakeville"/>
    <s v="Minnesota"/>
    <x v="2"/>
    <x v="1"/>
    <s v="Paper"/>
    <s v="Xerox 205"/>
    <n v="25.92"/>
    <n v="4"/>
    <n v="0"/>
    <n v="12.441599999999999"/>
  </r>
  <r>
    <n v="250"/>
    <d v="2013-12-11T00:00:00"/>
    <n v="2013"/>
    <x v="4"/>
    <x v="105"/>
    <n v="5"/>
    <x v="0"/>
    <s v="Logan Haushalter"/>
    <s v="Consumer"/>
    <s v="United States"/>
    <s v="San Francisco"/>
    <s v="California"/>
    <x v="1"/>
    <x v="0"/>
    <s v="Chairs"/>
    <s v="Global Leather Highback Executive Chair with Pneumatic Height Adjustment, Black"/>
    <n v="321.56799999999998"/>
    <n v="2"/>
    <n v="0.2"/>
    <n v="28.1372"/>
  </r>
  <r>
    <n v="251"/>
    <d v="2013-09-12T00:00:00"/>
    <n v="2013"/>
    <x v="8"/>
    <x v="106"/>
    <n v="6"/>
    <x v="1"/>
    <s v="Kelly Collister"/>
    <s v="Consumer"/>
    <s v="United States"/>
    <s v="San Diego"/>
    <s v="California"/>
    <x v="1"/>
    <x v="1"/>
    <s v="Paper"/>
    <s v="Wirebound Message Books, Two 4 1/4&quot; x 5&quot; Forms per Page"/>
    <n v="7.61"/>
    <n v="1"/>
    <n v="0"/>
    <n v="3.5767000000000002"/>
  </r>
  <r>
    <n v="252"/>
    <d v="2013-09-12T00:00:00"/>
    <n v="2013"/>
    <x v="8"/>
    <x v="106"/>
    <n v="6"/>
    <x v="1"/>
    <s v="Kelly Collister"/>
    <s v="Consumer"/>
    <s v="United States"/>
    <s v="San Diego"/>
    <s v="California"/>
    <x v="1"/>
    <x v="2"/>
    <s v="Accessories"/>
    <s v="Logitech P710e Mobile Speakerphone"/>
    <n v="3347.37"/>
    <n v="13"/>
    <n v="0"/>
    <n v="636.00030000000004"/>
  </r>
  <r>
    <n v="253"/>
    <d v="2013-12-11T00:00:00"/>
    <n v="2013"/>
    <x v="4"/>
    <x v="10"/>
    <n v="3"/>
    <x v="2"/>
    <s v="Delfina Latchford"/>
    <s v="Consumer"/>
    <s v="United States"/>
    <s v="New York City"/>
    <s v="New York"/>
    <x v="3"/>
    <x v="1"/>
    <s v="Storage"/>
    <s v="Fellowes Personal Hanging Folder Files, Navy"/>
    <n v="80.58"/>
    <n v="6"/>
    <n v="0"/>
    <n v="22.5624"/>
  </r>
  <r>
    <n v="254"/>
    <d v="2013-12-11T00:00:00"/>
    <n v="2013"/>
    <x v="4"/>
    <x v="10"/>
    <n v="3"/>
    <x v="2"/>
    <s v="Delfina Latchford"/>
    <s v="Consumer"/>
    <s v="United States"/>
    <s v="New York City"/>
    <s v="New York"/>
    <x v="3"/>
    <x v="1"/>
    <s v="Envelopes"/>
    <s v="Tyvek Side-Opening Peel &amp; Seel Expanding Envelopes"/>
    <n v="361.92"/>
    <n v="4"/>
    <n v="0"/>
    <n v="162.864"/>
  </r>
  <r>
    <n v="255"/>
    <d v="2012-11-28T00:00:00"/>
    <n v="2012"/>
    <x v="0"/>
    <x v="107"/>
    <n v="6"/>
    <x v="1"/>
    <s v="Dan Reichenbach"/>
    <s v="Corporate"/>
    <s v="United States"/>
    <s v="Chicago"/>
    <s v="Illinois"/>
    <x v="2"/>
    <x v="0"/>
    <s v="Furnishings"/>
    <s v="Eldon 100 Class Desk Accessories"/>
    <n v="12.132"/>
    <n v="9"/>
    <n v="0.6"/>
    <n v="-8.4923999999999999"/>
  </r>
  <r>
    <n v="256"/>
    <d v="2012-11-28T00:00:00"/>
    <n v="2012"/>
    <x v="0"/>
    <x v="107"/>
    <n v="6"/>
    <x v="1"/>
    <s v="Dan Reichenbach"/>
    <s v="Corporate"/>
    <s v="United States"/>
    <s v="Chicago"/>
    <s v="Illinois"/>
    <x v="2"/>
    <x v="1"/>
    <s v="Storage"/>
    <s v="Belkin 19&quot; Vented Equipment Shelf, Black"/>
    <n v="82.367999999999995"/>
    <n v="2"/>
    <n v="0.2"/>
    <n v="-19.5624"/>
  </r>
  <r>
    <n v="257"/>
    <d v="2012-11-28T00:00:00"/>
    <n v="2012"/>
    <x v="0"/>
    <x v="107"/>
    <n v="6"/>
    <x v="1"/>
    <s v="Dan Reichenbach"/>
    <s v="Corporate"/>
    <s v="United States"/>
    <s v="Chicago"/>
    <s v="Illinois"/>
    <x v="2"/>
    <x v="1"/>
    <s v="Storage"/>
    <s v="Tenex Personal Project File with Scoop Front Design, Black"/>
    <n v="53.92"/>
    <n v="5"/>
    <n v="0.2"/>
    <n v="4.0439999999999996"/>
  </r>
  <r>
    <n v="258"/>
    <d v="2012-11-28T00:00:00"/>
    <n v="2012"/>
    <x v="0"/>
    <x v="107"/>
    <n v="6"/>
    <x v="1"/>
    <s v="Dan Reichenbach"/>
    <s v="Corporate"/>
    <s v="United States"/>
    <s v="Chicago"/>
    <s v="Illinois"/>
    <x v="2"/>
    <x v="2"/>
    <s v="Phones"/>
    <s v="Logitech Mobile Speakerphone P710e - speaker phone"/>
    <n v="647.904"/>
    <n v="6"/>
    <n v="0.2"/>
    <n v="56.691600000000001"/>
  </r>
  <r>
    <n v="259"/>
    <d v="2014-12-02T00:00:00"/>
    <n v="2014"/>
    <x v="4"/>
    <x v="108"/>
    <n v="2"/>
    <x v="0"/>
    <s v="Craig Carreira"/>
    <s v="Consumer"/>
    <s v="United States"/>
    <s v="New York City"/>
    <s v="New York"/>
    <x v="3"/>
    <x v="2"/>
    <s v="Accessories"/>
    <s v="Sabrent 4-Port USB 2.0 Hub"/>
    <n v="20.37"/>
    <n v="3"/>
    <n v="0"/>
    <n v="6.9257999999999997"/>
  </r>
  <r>
    <n v="260"/>
    <d v="2014-12-02T00:00:00"/>
    <n v="2014"/>
    <x v="4"/>
    <x v="108"/>
    <n v="2"/>
    <x v="0"/>
    <s v="Craig Carreira"/>
    <s v="Consumer"/>
    <s v="United States"/>
    <s v="New York City"/>
    <s v="New York"/>
    <x v="3"/>
    <x v="1"/>
    <s v="Storage"/>
    <s v="Safco Industrial Shelving"/>
    <n v="221.55"/>
    <n v="3"/>
    <n v="0"/>
    <n v="6.6464999999999996"/>
  </r>
  <r>
    <n v="261"/>
    <d v="2014-12-02T00:00:00"/>
    <n v="2014"/>
    <x v="4"/>
    <x v="108"/>
    <n v="2"/>
    <x v="0"/>
    <s v="Craig Carreira"/>
    <s v="Consumer"/>
    <s v="United States"/>
    <s v="New York City"/>
    <s v="New York"/>
    <x v="3"/>
    <x v="1"/>
    <s v="Binders"/>
    <s v="Acco 3-Hole Punch"/>
    <n v="17.52"/>
    <n v="5"/>
    <n v="0.2"/>
    <n v="6.1319999999999997"/>
  </r>
  <r>
    <n v="262"/>
    <d v="2014-06-09T00:00:00"/>
    <n v="2014"/>
    <x v="1"/>
    <x v="109"/>
    <n v="4"/>
    <x v="1"/>
    <s v="Dorris liebe"/>
    <s v="Corporate"/>
    <s v="United States"/>
    <s v="Pasadena"/>
    <s v="Texas"/>
    <x v="2"/>
    <x v="1"/>
    <s v="Appliances"/>
    <s v="Eureka Disposable Bags for Sanitaire Vibra Groomer I Upright Vac"/>
    <n v="1.6240000000000001"/>
    <n v="2"/>
    <n v="0.8"/>
    <n v="-4.4660000000000002"/>
  </r>
  <r>
    <n v="263"/>
    <d v="2011-09-19T00:00:00"/>
    <n v="2011"/>
    <x v="8"/>
    <x v="110"/>
    <n v="2"/>
    <x v="0"/>
    <s v="Sean Braxton"/>
    <s v="Corporate"/>
    <s v="United States"/>
    <s v="Houston"/>
    <s v="Texas"/>
    <x v="2"/>
    <x v="2"/>
    <s v="Machines"/>
    <s v="Lexmark MX611dhe Monochrome Laser Printer"/>
    <n v="3059.982"/>
    <n v="3"/>
    <n v="0.4"/>
    <n v="-509.99700000000001"/>
  </r>
  <r>
    <n v="264"/>
    <d v="2011-09-19T00:00:00"/>
    <n v="2011"/>
    <x v="8"/>
    <x v="110"/>
    <n v="2"/>
    <x v="0"/>
    <s v="Sean Braxton"/>
    <s v="Corporate"/>
    <s v="United States"/>
    <s v="Houston"/>
    <s v="Texas"/>
    <x v="2"/>
    <x v="2"/>
    <s v="Machines"/>
    <s v="Xerox WorkCentre 6505DN Laser Multifunction Printer"/>
    <n v="2519.9580000000001"/>
    <n v="7"/>
    <n v="0.4"/>
    <n v="-251.9958"/>
  </r>
  <r>
    <n v="265"/>
    <d v="2013-06-07T00:00:00"/>
    <n v="2013"/>
    <x v="1"/>
    <x v="111"/>
    <n v="7"/>
    <x v="1"/>
    <s v="Roy Collins"/>
    <s v="Consumer"/>
    <s v="United States"/>
    <s v="Chicago"/>
    <s v="Illinois"/>
    <x v="2"/>
    <x v="2"/>
    <s v="Phones"/>
    <s v="Cisco Small Business SPA 502G VoIP phone"/>
    <n v="328.22399999999999"/>
    <n v="4"/>
    <n v="0.2"/>
    <n v="28.7196"/>
  </r>
  <r>
    <n v="266"/>
    <d v="2012-11-10T00:00:00"/>
    <n v="2012"/>
    <x v="0"/>
    <x v="112"/>
    <n v="5"/>
    <x v="1"/>
    <s v="Alan Hwang"/>
    <s v="Consumer"/>
    <s v="United States"/>
    <s v="Brentwood"/>
    <s v="California"/>
    <x v="1"/>
    <x v="2"/>
    <s v="Accessories"/>
    <s v="Microsoft Sculpt Comfort Mouse"/>
    <n v="79.900000000000006"/>
    <n v="2"/>
    <n v="0"/>
    <n v="35.155999999999999"/>
  </r>
  <r>
    <n v="267"/>
    <d v="2014-06-17T00:00:00"/>
    <n v="2014"/>
    <x v="1"/>
    <x v="46"/>
    <n v="4"/>
    <x v="1"/>
    <s v="Claudia Bergmann"/>
    <s v="Corporate"/>
    <s v="United States"/>
    <s v="Chapel Hill"/>
    <s v="North Carolina"/>
    <x v="0"/>
    <x v="1"/>
    <s v="Art"/>
    <s v="Quartet Omega Colored Chalk, 12/Pack"/>
    <n v="14.016"/>
    <n v="3"/>
    <n v="0.2"/>
    <n v="4.7304000000000004"/>
  </r>
  <r>
    <n v="268"/>
    <d v="2013-01-22T00:00:00"/>
    <n v="2013"/>
    <x v="9"/>
    <x v="113"/>
    <n v="6"/>
    <x v="1"/>
    <s v="Paul Gonzalez"/>
    <s v="Consumer"/>
    <s v="United States"/>
    <s v="Morristown"/>
    <s v="New Jersey"/>
    <x v="3"/>
    <x v="1"/>
    <s v="Fasteners"/>
    <s v="Bagged Rubber Bands"/>
    <n v="7.56"/>
    <n v="6"/>
    <n v="0"/>
    <n v="0.3024"/>
  </r>
  <r>
    <n v="269"/>
    <d v="2014-12-10T00:00:00"/>
    <n v="2014"/>
    <x v="4"/>
    <x v="114"/>
    <n v="4"/>
    <x v="1"/>
    <s v="Christine Abelman"/>
    <s v="Corporate"/>
    <s v="United States"/>
    <s v="Cincinnati"/>
    <s v="Ohio"/>
    <x v="3"/>
    <x v="1"/>
    <s v="Storage"/>
    <s v="Safco Commercial Shelving"/>
    <n v="37.207999999999998"/>
    <n v="1"/>
    <n v="0.2"/>
    <n v="-7.4416000000000002"/>
  </r>
  <r>
    <n v="270"/>
    <d v="2014-12-10T00:00:00"/>
    <n v="2014"/>
    <x v="4"/>
    <x v="114"/>
    <n v="4"/>
    <x v="1"/>
    <s v="Christine Abelman"/>
    <s v="Corporate"/>
    <s v="United States"/>
    <s v="Cincinnati"/>
    <s v="Ohio"/>
    <x v="3"/>
    <x v="1"/>
    <s v="Envelopes"/>
    <s v="Recycled Interoffice Envelopes with String and Button Closure, 10 x 13"/>
    <n v="57.576000000000001"/>
    <n v="3"/>
    <n v="0.2"/>
    <n v="21.591000000000001"/>
  </r>
  <r>
    <n v="271"/>
    <d v="2014-12-29T00:00:00"/>
    <n v="2014"/>
    <x v="4"/>
    <x v="115"/>
    <n v="5"/>
    <x v="0"/>
    <s v="Kristen Hastings"/>
    <s v="Corporate"/>
    <s v="United States"/>
    <s v="San Francisco"/>
    <s v="California"/>
    <x v="1"/>
    <x v="1"/>
    <s v="Storage"/>
    <s v="Adjustable Depth Letter/Legal Cart"/>
    <n v="725.84"/>
    <n v="4"/>
    <n v="0"/>
    <n v="210.49359999999999"/>
  </r>
  <r>
    <n v="272"/>
    <d v="2012-07-30T00:00:00"/>
    <n v="2012"/>
    <x v="7"/>
    <x v="116"/>
    <n v="1"/>
    <x v="2"/>
    <s v="Helen Andreada"/>
    <s v="Consumer"/>
    <s v="United States"/>
    <s v="San Francisco"/>
    <s v="California"/>
    <x v="1"/>
    <x v="2"/>
    <s v="Accessories"/>
    <s v="Logitech 910-002974 M325 Wireless Mouse for Web Scrolling"/>
    <n v="209.93"/>
    <n v="7"/>
    <n v="0"/>
    <n v="92.369200000000006"/>
  </r>
  <r>
    <n v="273"/>
    <d v="2012-07-30T00:00:00"/>
    <n v="2012"/>
    <x v="7"/>
    <x v="116"/>
    <n v="1"/>
    <x v="2"/>
    <s v="Helen Andreada"/>
    <s v="Consumer"/>
    <s v="United States"/>
    <s v="San Francisco"/>
    <s v="California"/>
    <x v="1"/>
    <x v="0"/>
    <s v="Furnishings"/>
    <s v="Regeneration Desk Collection"/>
    <n v="5.28"/>
    <n v="3"/>
    <n v="0"/>
    <n v="2.3231999999999999"/>
  </r>
  <r>
    <n v="274"/>
    <d v="2012-07-30T00:00:00"/>
    <n v="2012"/>
    <x v="7"/>
    <x v="116"/>
    <n v="1"/>
    <x v="2"/>
    <s v="Helen Andreada"/>
    <s v="Consumer"/>
    <s v="United States"/>
    <s v="San Francisco"/>
    <s v="California"/>
    <x v="1"/>
    <x v="1"/>
    <s v="Binders"/>
    <s v="Presstex Flexible Ring Binders"/>
    <n v="10.92"/>
    <n v="3"/>
    <n v="0.2"/>
    <n v="4.0949999999999998"/>
  </r>
  <r>
    <n v="275"/>
    <d v="2014-09-17T00:00:00"/>
    <n v="2014"/>
    <x v="8"/>
    <x v="31"/>
    <n v="1"/>
    <x v="2"/>
    <s v="Barry Blumstein"/>
    <s v="Corporate"/>
    <s v="United States"/>
    <s v="Inglewood"/>
    <s v="California"/>
    <x v="1"/>
    <x v="1"/>
    <s v="Paper"/>
    <s v="Ampad Gold Fibre Wirebound Steno Books, 6&quot; x 9&quot;, Gregg Ruled"/>
    <n v="8.82"/>
    <n v="2"/>
    <n v="0"/>
    <n v="4.0571999999999999"/>
  </r>
  <r>
    <n v="276"/>
    <d v="2014-09-17T00:00:00"/>
    <n v="2014"/>
    <x v="8"/>
    <x v="31"/>
    <n v="1"/>
    <x v="2"/>
    <s v="Barry Blumstein"/>
    <s v="Corporate"/>
    <s v="United States"/>
    <s v="Inglewood"/>
    <s v="California"/>
    <x v="1"/>
    <x v="1"/>
    <s v="Art"/>
    <s v="Newell 330"/>
    <n v="5.98"/>
    <n v="1"/>
    <n v="0"/>
    <n v="1.5548"/>
  </r>
  <r>
    <n v="277"/>
    <d v="2014-10-14T00:00:00"/>
    <n v="2014"/>
    <x v="2"/>
    <x v="117"/>
    <n v="4"/>
    <x v="1"/>
    <s v="Andrew Gjertsen"/>
    <s v="Corporate"/>
    <s v="United States"/>
    <s v="Philadelphia"/>
    <s v="Pennsylvania"/>
    <x v="3"/>
    <x v="1"/>
    <s v="Paper"/>
    <s v="Post-it “Important Message” Note Pad, Neon Colors, 50 Sheets/Pad"/>
    <n v="11.648"/>
    <n v="2"/>
    <n v="0.2"/>
    <n v="4.0768000000000004"/>
  </r>
  <r>
    <n v="278"/>
    <d v="2014-10-14T00:00:00"/>
    <n v="2014"/>
    <x v="2"/>
    <x v="117"/>
    <n v="4"/>
    <x v="1"/>
    <s v="Andrew Gjertsen"/>
    <s v="Corporate"/>
    <s v="United States"/>
    <s v="Philadelphia"/>
    <s v="Pennsylvania"/>
    <x v="3"/>
    <x v="1"/>
    <s v="Paper"/>
    <s v="Adams Write n' Stick Phone Message Book, 11&quot; X 5 1/4&quot;, 200 Messages"/>
    <n v="18.175999999999998"/>
    <n v="4"/>
    <n v="0.2"/>
    <n v="5.9071999999999996"/>
  </r>
  <r>
    <n v="279"/>
    <d v="2014-10-14T00:00:00"/>
    <n v="2014"/>
    <x v="2"/>
    <x v="117"/>
    <n v="4"/>
    <x v="1"/>
    <s v="Andrew Gjertsen"/>
    <s v="Corporate"/>
    <s v="United States"/>
    <s v="Philadelphia"/>
    <s v="Pennsylvania"/>
    <x v="3"/>
    <x v="1"/>
    <s v="Storage"/>
    <s v="Eldon Simplefile Box Office"/>
    <n v="59.712000000000003"/>
    <n v="6"/>
    <n v="0.2"/>
    <n v="5.9711999999999996"/>
  </r>
  <r>
    <n v="280"/>
    <d v="2014-10-14T00:00:00"/>
    <n v="2014"/>
    <x v="2"/>
    <x v="117"/>
    <n v="4"/>
    <x v="1"/>
    <s v="Andrew Gjertsen"/>
    <s v="Corporate"/>
    <s v="United States"/>
    <s v="Philadelphia"/>
    <s v="Pennsylvania"/>
    <x v="3"/>
    <x v="1"/>
    <s v="Labels"/>
    <s v="Avery 489"/>
    <n v="24.84"/>
    <n v="3"/>
    <n v="0.2"/>
    <n v="8.6940000000000008"/>
  </r>
  <r>
    <n v="281"/>
    <d v="2012-09-26T00:00:00"/>
    <n v="2012"/>
    <x v="8"/>
    <x v="118"/>
    <n v="2"/>
    <x v="0"/>
    <s v="Steven Cartwright"/>
    <s v="Consumer"/>
    <s v="United States"/>
    <s v="Houston"/>
    <s v="Texas"/>
    <x v="2"/>
    <x v="1"/>
    <s v="Binders"/>
    <s v="Round Ring Binders"/>
    <n v="2.08"/>
    <n v="5"/>
    <n v="0.8"/>
    <n v="-3.4319999999999999"/>
  </r>
  <r>
    <n v="282"/>
    <d v="2012-09-26T00:00:00"/>
    <n v="2012"/>
    <x v="8"/>
    <x v="118"/>
    <n v="2"/>
    <x v="0"/>
    <s v="Steven Cartwright"/>
    <s v="Consumer"/>
    <s v="United States"/>
    <s v="Houston"/>
    <s v="Texas"/>
    <x v="2"/>
    <x v="2"/>
    <s v="Phones"/>
    <s v="Bose SoundLink Bluetooth Speaker"/>
    <n v="1114.4000000000001"/>
    <n v="7"/>
    <n v="0.2"/>
    <n v="376.11"/>
  </r>
  <r>
    <n v="283"/>
    <d v="2012-11-02T00:00:00"/>
    <n v="2012"/>
    <x v="0"/>
    <x v="85"/>
    <n v="4"/>
    <x v="1"/>
    <s v="Jas O'Carroll"/>
    <s v="Consumer"/>
    <s v="United States"/>
    <s v="Los Angeles"/>
    <s v="California"/>
    <x v="1"/>
    <x v="0"/>
    <s v="Tables"/>
    <s v="Bevis Round Bullnose 29&quot; High Table Top"/>
    <n v="1038.8399999999999"/>
    <n v="5"/>
    <n v="0.2"/>
    <n v="51.942"/>
  </r>
  <r>
    <n v="284"/>
    <d v="2012-09-26T00:00:00"/>
    <n v="2012"/>
    <x v="8"/>
    <x v="119"/>
    <n v="6"/>
    <x v="1"/>
    <s v="Tracy Blumstein"/>
    <s v="Consumer"/>
    <s v="United States"/>
    <s v="Portland"/>
    <s v="Oregon"/>
    <x v="1"/>
    <x v="1"/>
    <s v="Paper"/>
    <s v="Staples"/>
    <n v="141.76"/>
    <n v="5"/>
    <n v="0.2"/>
    <n v="47.844000000000001"/>
  </r>
  <r>
    <n v="285"/>
    <d v="2012-09-26T00:00:00"/>
    <n v="2012"/>
    <x v="8"/>
    <x v="119"/>
    <n v="6"/>
    <x v="1"/>
    <s v="Tracy Blumstein"/>
    <s v="Consumer"/>
    <s v="United States"/>
    <s v="Portland"/>
    <s v="Oregon"/>
    <x v="1"/>
    <x v="2"/>
    <s v="Accessories"/>
    <s v="Microsoft Arc Touch Mouse"/>
    <n v="239.8"/>
    <n v="5"/>
    <n v="0.2"/>
    <n v="47.96"/>
  </r>
  <r>
    <n v="286"/>
    <d v="2012-09-26T00:00:00"/>
    <n v="2012"/>
    <x v="8"/>
    <x v="119"/>
    <n v="6"/>
    <x v="1"/>
    <s v="Tracy Blumstein"/>
    <s v="Consumer"/>
    <s v="United States"/>
    <s v="Portland"/>
    <s v="Oregon"/>
    <x v="1"/>
    <x v="1"/>
    <s v="Paper"/>
    <s v="Xerox 216"/>
    <n v="31.103999999999999"/>
    <n v="6"/>
    <n v="0.2"/>
    <n v="10.8864"/>
  </r>
  <r>
    <n v="287"/>
    <d v="2013-12-19T00:00:00"/>
    <n v="2013"/>
    <x v="4"/>
    <x v="120"/>
    <n v="2"/>
    <x v="0"/>
    <s v="Alan Haines"/>
    <s v="Corporate"/>
    <s v="United States"/>
    <s v="Tamarac"/>
    <s v="Florida"/>
    <x v="0"/>
    <x v="1"/>
    <s v="Binders"/>
    <s v="GBC VeloBinder Electric Binding Machine"/>
    <n v="254.05799999999999"/>
    <n v="7"/>
    <n v="0.7"/>
    <n v="-169.37200000000001"/>
  </r>
  <r>
    <n v="288"/>
    <d v="2013-12-19T00:00:00"/>
    <n v="2013"/>
    <x v="4"/>
    <x v="120"/>
    <n v="2"/>
    <x v="0"/>
    <s v="Alan Haines"/>
    <s v="Corporate"/>
    <s v="United States"/>
    <s v="Tamarac"/>
    <s v="Florida"/>
    <x v="0"/>
    <x v="1"/>
    <s v="Appliances"/>
    <s v="Acco 7-Outlet Masterpiece Power Center, Wihtout Fax/Phone Line Protection"/>
    <n v="194.52799999999999"/>
    <n v="2"/>
    <n v="0.2"/>
    <n v="24.315999999999999"/>
  </r>
  <r>
    <n v="289"/>
    <d v="2013-12-19T00:00:00"/>
    <n v="2013"/>
    <x v="4"/>
    <x v="120"/>
    <n v="2"/>
    <x v="0"/>
    <s v="Alan Haines"/>
    <s v="Corporate"/>
    <s v="United States"/>
    <s v="Tamarac"/>
    <s v="Florida"/>
    <x v="0"/>
    <x v="1"/>
    <s v="Supplies"/>
    <s v="Premier Automatic Letter Opener"/>
    <n v="961.48"/>
    <n v="5"/>
    <n v="0.2"/>
    <n v="-204.31450000000001"/>
  </r>
  <r>
    <n v="290"/>
    <d v="2013-11-21T00:00:00"/>
    <n v="2013"/>
    <x v="0"/>
    <x v="71"/>
    <n v="4"/>
    <x v="0"/>
    <s v="Nick Zandusky"/>
    <s v="Home Office"/>
    <s v="United States"/>
    <s v="Columbus"/>
    <s v="Ohio"/>
    <x v="3"/>
    <x v="1"/>
    <s v="Fasteners"/>
    <s v="Advantus SlideClip Paper Clips"/>
    <n v="19.096"/>
    <n v="7"/>
    <n v="0.2"/>
    <n v="6.6836000000000002"/>
  </r>
  <r>
    <n v="291"/>
    <d v="2013-11-21T00:00:00"/>
    <n v="2013"/>
    <x v="0"/>
    <x v="71"/>
    <n v="4"/>
    <x v="0"/>
    <s v="Nick Zandusky"/>
    <s v="Home Office"/>
    <s v="United States"/>
    <s v="Columbus"/>
    <s v="Ohio"/>
    <x v="3"/>
    <x v="1"/>
    <s v="Labels"/>
    <s v="Avery 512"/>
    <n v="18.495999999999999"/>
    <n v="8"/>
    <n v="0.2"/>
    <n v="6.2423999999999999"/>
  </r>
  <r>
    <n v="292"/>
    <d v="2013-11-21T00:00:00"/>
    <n v="2013"/>
    <x v="0"/>
    <x v="71"/>
    <n v="4"/>
    <x v="0"/>
    <s v="Nick Zandusky"/>
    <s v="Home Office"/>
    <s v="United States"/>
    <s v="Columbus"/>
    <s v="Ohio"/>
    <x v="3"/>
    <x v="2"/>
    <s v="Accessories"/>
    <s v="Logitech Wireless Gaming Headset G930"/>
    <n v="255.98400000000001"/>
    <n v="2"/>
    <n v="0.2"/>
    <n v="54.396599999999999"/>
  </r>
  <r>
    <n v="293"/>
    <d v="2013-11-21T00:00:00"/>
    <n v="2013"/>
    <x v="0"/>
    <x v="71"/>
    <n v="4"/>
    <x v="0"/>
    <s v="Nick Zandusky"/>
    <s v="Home Office"/>
    <s v="United States"/>
    <s v="Columbus"/>
    <s v="Ohio"/>
    <x v="3"/>
    <x v="0"/>
    <s v="Bookcases"/>
    <s v="Bush Westfield Collection Bookcases, Medium Cherry Finish"/>
    <n v="86.97"/>
    <n v="3"/>
    <n v="0.5"/>
    <n v="-48.703200000000002"/>
  </r>
  <r>
    <n v="294"/>
    <d v="2011-12-26T00:00:00"/>
    <n v="2011"/>
    <x v="4"/>
    <x v="58"/>
    <n v="2"/>
    <x v="2"/>
    <s v="Kelly Lampkin"/>
    <s v="Corporate"/>
    <s v="United States"/>
    <s v="Colorado Springs"/>
    <s v="Colorado"/>
    <x v="1"/>
    <x v="0"/>
    <s v="Furnishings"/>
    <s v="Howard Miller 13&quot; Diameter Goldtone Round Wall Clock"/>
    <n v="300.416"/>
    <n v="8"/>
    <n v="0.2"/>
    <n v="78.859200000000001"/>
  </r>
  <r>
    <n v="295"/>
    <d v="2011-12-26T00:00:00"/>
    <n v="2011"/>
    <x v="4"/>
    <x v="58"/>
    <n v="2"/>
    <x v="2"/>
    <s v="Kelly Lampkin"/>
    <s v="Corporate"/>
    <s v="United States"/>
    <s v="Colorado Springs"/>
    <s v="Colorado"/>
    <x v="1"/>
    <x v="0"/>
    <s v="Chairs"/>
    <s v="Global Deluxe Office Fabric Chairs"/>
    <n v="230.352"/>
    <n v="3"/>
    <n v="0.2"/>
    <n v="20.155799999999999"/>
  </r>
  <r>
    <n v="296"/>
    <d v="2011-12-26T00:00:00"/>
    <n v="2011"/>
    <x v="4"/>
    <x v="58"/>
    <n v="2"/>
    <x v="2"/>
    <s v="Kelly Lampkin"/>
    <s v="Corporate"/>
    <s v="United States"/>
    <s v="Colorado Springs"/>
    <s v="Colorado"/>
    <x v="1"/>
    <x v="0"/>
    <s v="Furnishings"/>
    <s v="Eldon ClusterMat Chair Mat with Cordless Antistatic Protection"/>
    <n v="218.352"/>
    <n v="3"/>
    <n v="0.2"/>
    <n v="-24.564599999999999"/>
  </r>
  <r>
    <n v="297"/>
    <d v="2011-12-26T00:00:00"/>
    <n v="2011"/>
    <x v="4"/>
    <x v="58"/>
    <n v="2"/>
    <x v="2"/>
    <s v="Kelly Lampkin"/>
    <s v="Corporate"/>
    <s v="United States"/>
    <s v="Colorado Springs"/>
    <s v="Colorado"/>
    <x v="1"/>
    <x v="1"/>
    <s v="Binders"/>
    <s v="Ibico Laser Imprintable Binding System Covers"/>
    <n v="78.599999999999994"/>
    <n v="5"/>
    <n v="0.7"/>
    <n v="-62.88"/>
  </r>
  <r>
    <n v="298"/>
    <d v="2011-12-26T00:00:00"/>
    <n v="2011"/>
    <x v="4"/>
    <x v="58"/>
    <n v="2"/>
    <x v="2"/>
    <s v="Kelly Lampkin"/>
    <s v="Corporate"/>
    <s v="United States"/>
    <s v="Colorado Springs"/>
    <s v="Colorado"/>
    <x v="1"/>
    <x v="1"/>
    <s v="Fasteners"/>
    <s v="Vinyl Coated Wire Paper Clips in Organizer Box, 800/Box"/>
    <n v="27.552"/>
    <n v="3"/>
    <n v="0.2"/>
    <n v="9.2988"/>
  </r>
  <r>
    <n v="299"/>
    <d v="2013-10-29T00:00:00"/>
    <n v="2013"/>
    <x v="2"/>
    <x v="121"/>
    <n v="6"/>
    <x v="1"/>
    <s v="Jonathan Doherty"/>
    <s v="Corporate"/>
    <s v="United States"/>
    <s v="Belleville"/>
    <s v="New Jersey"/>
    <x v="3"/>
    <x v="1"/>
    <s v="Paper"/>
    <s v="Xerox 223"/>
    <n v="32.4"/>
    <n v="5"/>
    <n v="0"/>
    <n v="15.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AC42E7-0B22-4D66-8434-C549BBCE567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0">
    <pivotField showAll="0"/>
    <pivotField numFmtId="164"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2" showAll="0"/>
    <pivotField showAll="0"/>
    <pivotField numFmtId="10" showAll="0"/>
    <pivotField numFmtId="2" showAll="0"/>
  </pivotFields>
  <rowFields count="1">
    <field x="13"/>
  </rowFields>
  <rowItems count="4">
    <i>
      <x/>
    </i>
    <i>
      <x v="1"/>
    </i>
    <i>
      <x v="2"/>
    </i>
    <i t="grand">
      <x/>
    </i>
  </rowItems>
  <colItems count="1">
    <i/>
  </colItems>
  <dataFields count="1">
    <dataField name="Sum of Sales" fld="16"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BEA81F-0BB8-4C19-910E-1923B9D9AD5D}"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G3:I7" firstHeaderRow="0" firstDataRow="1" firstDataCol="1"/>
  <pivotFields count="20">
    <pivotField showAll="0"/>
    <pivotField numFmtId="164" showAll="0"/>
    <pivotField showAll="0"/>
    <pivotField showAll="0"/>
    <pivotField numFmtId="164" showAll="0">
      <items count="123">
        <item x="70"/>
        <item x="86"/>
        <item x="8"/>
        <item x="104"/>
        <item x="3"/>
        <item x="90"/>
        <item x="75"/>
        <item x="55"/>
        <item x="83"/>
        <item x="9"/>
        <item x="74"/>
        <item x="101"/>
        <item x="76"/>
        <item x="110"/>
        <item x="59"/>
        <item x="36"/>
        <item x="21"/>
        <item x="65"/>
        <item x="7"/>
        <item x="81"/>
        <item x="34"/>
        <item x="80"/>
        <item x="28"/>
        <item x="58"/>
        <item x="96"/>
        <item x="43"/>
        <item x="95"/>
        <item x="100"/>
        <item x="56"/>
        <item x="57"/>
        <item x="23"/>
        <item x="32"/>
        <item x="27"/>
        <item x="68"/>
        <item x="69"/>
        <item x="116"/>
        <item x="99"/>
        <item x="37"/>
        <item x="64"/>
        <item x="14"/>
        <item x="118"/>
        <item x="12"/>
        <item x="119"/>
        <item x="84"/>
        <item x="2"/>
        <item x="52"/>
        <item x="85"/>
        <item x="112"/>
        <item x="50"/>
        <item x="78"/>
        <item x="6"/>
        <item x="26"/>
        <item x="107"/>
        <item x="79"/>
        <item x="98"/>
        <item x="16"/>
        <item x="13"/>
        <item x="113"/>
        <item x="20"/>
        <item x="67"/>
        <item x="41"/>
        <item x="72"/>
        <item x="29"/>
        <item x="103"/>
        <item x="111"/>
        <item x="35"/>
        <item x="1"/>
        <item x="25"/>
        <item x="22"/>
        <item x="18"/>
        <item x="48"/>
        <item x="62"/>
        <item x="47"/>
        <item x="106"/>
        <item x="42"/>
        <item x="30"/>
        <item x="61"/>
        <item x="97"/>
        <item x="121"/>
        <item x="54"/>
        <item x="0"/>
        <item x="73"/>
        <item x="71"/>
        <item x="82"/>
        <item x="49"/>
        <item x="66"/>
        <item x="5"/>
        <item x="10"/>
        <item x="105"/>
        <item x="24"/>
        <item x="120"/>
        <item x="60"/>
        <item x="102"/>
        <item x="4"/>
        <item x="77"/>
        <item x="39"/>
        <item x="92"/>
        <item x="109"/>
        <item x="46"/>
        <item x="89"/>
        <item x="88"/>
        <item x="11"/>
        <item x="17"/>
        <item x="31"/>
        <item x="19"/>
        <item x="117"/>
        <item x="15"/>
        <item x="40"/>
        <item x="45"/>
        <item x="44"/>
        <item x="87"/>
        <item x="38"/>
        <item x="51"/>
        <item x="108"/>
        <item x="94"/>
        <item x="33"/>
        <item x="114"/>
        <item x="93"/>
        <item x="91"/>
        <item x="63"/>
        <item x="53"/>
        <item x="115"/>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numFmtId="2" showAll="0"/>
    <pivotField showAll="0"/>
    <pivotField numFmtId="10" showAll="0"/>
    <pivotField dataField="1" numFmtId="2" showAll="0"/>
  </pivotFields>
  <rowFields count="1">
    <field x="6"/>
  </rowFields>
  <rowItems count="4">
    <i>
      <x/>
    </i>
    <i>
      <x v="1"/>
    </i>
    <i>
      <x v="2"/>
    </i>
    <i t="grand">
      <x/>
    </i>
  </rowItems>
  <colFields count="1">
    <field x="-2"/>
  </colFields>
  <colItems count="2">
    <i>
      <x/>
    </i>
    <i i="1">
      <x v="1"/>
    </i>
  </colItems>
  <dataFields count="2">
    <dataField name="Sum of Sales" fld="16" baseField="0" baseItem="0"/>
    <dataField name="Sum of Profit" fld="19"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6" count="1" selected="0">
            <x v="0"/>
          </reference>
        </references>
      </pivotArea>
    </chartFormat>
    <chartFormat chart="1" format="4">
      <pivotArea type="data" outline="0" fieldPosition="0">
        <references count="2">
          <reference field="4294967294" count="1" selected="0">
            <x v="0"/>
          </reference>
          <reference field="6" count="1" selected="0">
            <x v="1"/>
          </reference>
        </references>
      </pivotArea>
    </chartFormat>
    <chartFormat chart="1" format="5">
      <pivotArea type="data" outline="0" fieldPosition="0">
        <references count="2">
          <reference field="4294967294" count="1" selected="0">
            <x v="0"/>
          </reference>
          <reference field="6" count="1" selected="0">
            <x v="2"/>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2">
          <reference field="4294967294" count="1" selected="0">
            <x v="1"/>
          </reference>
          <reference field="6" count="1" selected="0">
            <x v="0"/>
          </reference>
        </references>
      </pivotArea>
    </chartFormat>
    <chartFormat chart="1" format="8">
      <pivotArea type="data" outline="0" fieldPosition="0">
        <references count="2">
          <reference field="4294967294" count="1" selected="0">
            <x v="1"/>
          </reference>
          <reference field="6" count="1" selected="0">
            <x v="1"/>
          </reference>
        </references>
      </pivotArea>
    </chartFormat>
    <chartFormat chart="1" format="9">
      <pivotArea type="data" outline="0" fieldPosition="0">
        <references count="2">
          <reference field="4294967294" count="1" selected="0">
            <x v="1"/>
          </reference>
          <reference field="6"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6" count="1" selected="0">
            <x v="0"/>
          </reference>
        </references>
      </pivotArea>
    </chartFormat>
    <chartFormat chart="2" format="16">
      <pivotArea type="data" outline="0" fieldPosition="0">
        <references count="2">
          <reference field="4294967294" count="1" selected="0">
            <x v="1"/>
          </reference>
          <reference field="6" count="1" selected="0">
            <x v="1"/>
          </reference>
        </references>
      </pivotArea>
    </chartFormat>
    <chartFormat chart="2" format="17">
      <pivotArea type="data" outline="0" fieldPosition="0">
        <references count="2">
          <reference field="4294967294" count="1" selected="0">
            <x v="1"/>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1"/>
          </reference>
          <reference field="6" count="1" selected="0">
            <x v="0"/>
          </reference>
        </references>
      </pivotArea>
    </chartFormat>
    <chartFormat chart="0" format="6">
      <pivotArea type="data" outline="0" fieldPosition="0">
        <references count="2">
          <reference field="4294967294" count="1" selected="0">
            <x v="1"/>
          </reference>
          <reference field="6" count="1" selected="0">
            <x v="1"/>
          </reference>
        </references>
      </pivotArea>
    </chartFormat>
    <chartFormat chart="0" format="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064E0-E411-4BFD-B8A2-393CF88EE6A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3:E8" firstHeaderRow="1" firstDataRow="1" firstDataCol="1"/>
  <pivotFields count="20">
    <pivotField showAll="0"/>
    <pivotField numFmtId="164" showAll="0"/>
    <pivotField showAll="0"/>
    <pivotField showAll="0">
      <items count="13">
        <item x="9"/>
        <item x="11"/>
        <item x="10"/>
        <item x="3"/>
        <item x="5"/>
        <item x="1"/>
        <item x="7"/>
        <item x="6"/>
        <item x="8"/>
        <item x="2"/>
        <item x="0"/>
        <item x="4"/>
        <item t="default"/>
      </items>
    </pivotField>
    <pivotField numFmtId="164"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numFmtId="2" showAll="0"/>
    <pivotField showAll="0"/>
    <pivotField numFmtId="10" showAll="0"/>
    <pivotField dataField="1" numFmtId="2" showAll="0"/>
  </pivotFields>
  <rowFields count="1">
    <field x="12"/>
  </rowFields>
  <rowItems count="5">
    <i>
      <x/>
    </i>
    <i>
      <x v="1"/>
    </i>
    <i>
      <x v="2"/>
    </i>
    <i>
      <x v="3"/>
    </i>
    <i t="grand">
      <x/>
    </i>
  </rowItems>
  <colItems count="1">
    <i/>
  </colItems>
  <dataFields count="1">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C3B0B1-BD53-4115-9BE0-B46B2FA61CBF}" sourceName="Month">
  <pivotTables>
    <pivotTable tabId="3" name="PivotTable2"/>
  </pivotTables>
  <data>
    <tabular pivotCacheId="983179727">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4E9CE1A-0D11-4F58-B96D-D842E760206C}"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CDA75F1-AA44-4645-897C-57EEAD871407}" cache="Slicer_Month" caption="Month"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F62116EC-0F10-44B0-955B-70442B0FD778}" sourceName="Ship Date">
  <pivotTables>
    <pivotTable tabId="3" name="PivotTable3"/>
  </pivotTables>
  <state minimalRefreshVersion="6" lastRefreshVersion="6" pivotCacheId="983179727"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5C1FD9C7-CC0E-499D-9B09-5BB7A8418610}" cache="NativeTimeline_Ship_Date" caption="Ship Date" level="2" selectionLevel="2" scrollPosition="201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1" xr10:uid="{990D8036-BD6E-4005-859E-59F78FFACE5C}" cache="NativeTimeline_Ship_Date" caption="Ship Date" level="2" selectionLevel="2" scrollPosition="2015-06-06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69A7-A144-4ABE-9817-6641D107076F}">
  <dimension ref="A1:AE300"/>
  <sheetViews>
    <sheetView tabSelected="1" topLeftCell="U1" zoomScale="86" workbookViewId="0">
      <selection activeCell="Y12" sqref="Y12"/>
    </sheetView>
  </sheetViews>
  <sheetFormatPr defaultColWidth="11.33203125" defaultRowHeight="14.4" x14ac:dyDescent="0.3"/>
  <cols>
    <col min="7" max="7" width="15" customWidth="1"/>
    <col min="8" max="8" width="17.109375" customWidth="1"/>
    <col min="10" max="10" width="13" customWidth="1"/>
    <col min="11" max="11" width="15" customWidth="1"/>
    <col min="14" max="14" width="13.44140625" customWidth="1"/>
    <col min="16" max="16" width="54.88671875" customWidth="1"/>
    <col min="22" max="22" width="16" customWidth="1"/>
    <col min="23" max="23" width="29.44140625" customWidth="1"/>
    <col min="24" max="24" width="23.77734375" customWidth="1"/>
    <col min="25" max="25" width="17.88671875" customWidth="1"/>
    <col min="26" max="26" width="16.33203125" customWidth="1"/>
    <col min="27" max="27" width="13.33203125" customWidth="1"/>
    <col min="28" max="28" width="17.33203125" customWidth="1"/>
    <col min="29" max="29" width="13" customWidth="1"/>
    <col min="30" max="30" width="42.44140625" customWidth="1"/>
    <col min="31" max="31" width="34.44140625" customWidth="1"/>
  </cols>
  <sheetData>
    <row r="1" spans="1:31" x14ac:dyDescent="0.3">
      <c r="A1" s="7" t="s">
        <v>0</v>
      </c>
      <c r="B1" s="8" t="s">
        <v>1</v>
      </c>
      <c r="C1" s="9" t="s">
        <v>2</v>
      </c>
      <c r="D1" s="10" t="s">
        <v>3</v>
      </c>
      <c r="E1" s="8"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587</v>
      </c>
      <c r="V1" s="7" t="s">
        <v>588</v>
      </c>
      <c r="W1" s="24" t="s">
        <v>582</v>
      </c>
      <c r="X1" s="33"/>
      <c r="Y1" s="25"/>
      <c r="Z1" s="22"/>
      <c r="AA1" s="11" t="s">
        <v>596</v>
      </c>
      <c r="AB1" s="11" t="s">
        <v>597</v>
      </c>
      <c r="AC1" s="11" t="s">
        <v>598</v>
      </c>
      <c r="AD1" s="26" t="s">
        <v>599</v>
      </c>
      <c r="AE1" s="27"/>
    </row>
    <row r="2" spans="1:31" x14ac:dyDescent="0.3">
      <c r="A2" s="1">
        <v>1</v>
      </c>
      <c r="B2" s="2">
        <v>41587</v>
      </c>
      <c r="C2" s="1">
        <v>2013</v>
      </c>
      <c r="D2" s="3" t="s">
        <v>20</v>
      </c>
      <c r="E2" s="2">
        <v>41590</v>
      </c>
      <c r="F2" s="1">
        <f t="shared" ref="F2:F65" si="0">_xlfn.DAYS(E2,B2)</f>
        <v>3</v>
      </c>
      <c r="G2" s="1" t="s">
        <v>21</v>
      </c>
      <c r="H2" s="1" t="s">
        <v>22</v>
      </c>
      <c r="I2" s="1" t="s">
        <v>23</v>
      </c>
      <c r="J2" s="1" t="s">
        <v>24</v>
      </c>
      <c r="K2" s="1" t="s">
        <v>25</v>
      </c>
      <c r="L2" s="1" t="s">
        <v>26</v>
      </c>
      <c r="M2" s="1" t="s">
        <v>27</v>
      </c>
      <c r="N2" s="1" t="s">
        <v>28</v>
      </c>
      <c r="O2" s="1" t="s">
        <v>29</v>
      </c>
      <c r="P2" s="1" t="s">
        <v>30</v>
      </c>
      <c r="Q2" s="4">
        <v>261.95999999999998</v>
      </c>
      <c r="R2" s="1">
        <v>2</v>
      </c>
      <c r="S2" s="5">
        <v>0</v>
      </c>
      <c r="T2" s="4">
        <v>41.913600000000002</v>
      </c>
      <c r="U2" s="6" t="str">
        <f>IF(T2&gt;0,"Profit","Loss")</f>
        <v>Profit</v>
      </c>
      <c r="V2" s="6" t="str">
        <f>IF(Q2&gt;=1000,"High Sales",IF(Q2&gt;=500,"Medium Sales","Low Sales"))</f>
        <v>Low Sales</v>
      </c>
      <c r="W2" s="6" t="s">
        <v>583</v>
      </c>
      <c r="X2" s="6" t="s">
        <v>584</v>
      </c>
      <c r="Y2" s="6" t="s">
        <v>4</v>
      </c>
      <c r="Z2" s="6" t="s">
        <v>6</v>
      </c>
      <c r="AA2" s="23">
        <f>SUM(Q2:Q300)</f>
        <v>76821.329200000007</v>
      </c>
      <c r="AB2" s="6">
        <f>SUM(R2:R300)</f>
        <v>1205</v>
      </c>
      <c r="AC2" s="16">
        <f>SUM(T2:T300)</f>
        <v>-509.85949999999991</v>
      </c>
      <c r="AD2" s="27"/>
      <c r="AE2" s="27"/>
    </row>
    <row r="3" spans="1:31" x14ac:dyDescent="0.3">
      <c r="A3" s="1">
        <v>2</v>
      </c>
      <c r="B3" s="2">
        <v>41587</v>
      </c>
      <c r="C3" s="1">
        <v>2013</v>
      </c>
      <c r="D3" s="3" t="s">
        <v>20</v>
      </c>
      <c r="E3" s="2">
        <v>41590</v>
      </c>
      <c r="F3" s="1">
        <f>_xlfn.DAYS(E3,B3)</f>
        <v>3</v>
      </c>
      <c r="G3" s="1" t="s">
        <v>21</v>
      </c>
      <c r="H3" s="1" t="s">
        <v>22</v>
      </c>
      <c r="I3" s="1" t="s">
        <v>23</v>
      </c>
      <c r="J3" s="1" t="s">
        <v>24</v>
      </c>
      <c r="K3" s="1" t="s">
        <v>25</v>
      </c>
      <c r="L3" s="1" t="s">
        <v>26</v>
      </c>
      <c r="M3" s="1" t="s">
        <v>27</v>
      </c>
      <c r="N3" s="1" t="s">
        <v>28</v>
      </c>
      <c r="O3" s="1" t="s">
        <v>31</v>
      </c>
      <c r="P3" s="1" t="s">
        <v>32</v>
      </c>
      <c r="Q3" s="4">
        <v>731.94</v>
      </c>
      <c r="R3" s="1">
        <v>3</v>
      </c>
      <c r="S3" s="5">
        <v>0</v>
      </c>
      <c r="T3" s="4">
        <v>219.58199999999999</v>
      </c>
      <c r="U3" s="6" t="str">
        <f t="shared" ref="U3:U66" si="1">IF(T3&gt;0,"Profit","Loss")</f>
        <v>Profit</v>
      </c>
      <c r="V3" s="6" t="str">
        <f t="shared" ref="V3:V66" si="2">IF(Q3&gt;=1000,"High Sales",IF(Q3&gt;=500,"Medium Sales","Low Sales"))</f>
        <v>Medium Sales</v>
      </c>
      <c r="W3" s="6">
        <v>1</v>
      </c>
      <c r="X3" s="6" t="str">
        <f>VLOOKUP(W3,A2:T300,8,FALSE)</f>
        <v>Claire Gute</v>
      </c>
      <c r="Y3" s="21">
        <f>VLOOKUP(W3,A2:T300,5,FALSE)</f>
        <v>41590</v>
      </c>
      <c r="Z3" s="21" t="str">
        <f>VLOOKUP(W3,A2:T300,7,FALSE)</f>
        <v>Second Class</v>
      </c>
      <c r="AD3" s="20" t="s">
        <v>604</v>
      </c>
      <c r="AE3" s="20" t="s">
        <v>605</v>
      </c>
    </row>
    <row r="4" spans="1:31" ht="13.8" customHeight="1" x14ac:dyDescent="0.3">
      <c r="A4" s="1">
        <v>3</v>
      </c>
      <c r="B4" s="2">
        <v>41438</v>
      </c>
      <c r="C4" s="1">
        <v>2013</v>
      </c>
      <c r="D4" s="3" t="s">
        <v>33</v>
      </c>
      <c r="E4" s="2">
        <v>41442</v>
      </c>
      <c r="F4" s="1">
        <f t="shared" si="0"/>
        <v>4</v>
      </c>
      <c r="G4" s="1" t="s">
        <v>21</v>
      </c>
      <c r="H4" s="1" t="s">
        <v>34</v>
      </c>
      <c r="I4" s="1" t="s">
        <v>35</v>
      </c>
      <c r="J4" s="1" t="s">
        <v>24</v>
      </c>
      <c r="K4" s="1" t="s">
        <v>36</v>
      </c>
      <c r="L4" s="1" t="s">
        <v>37</v>
      </c>
      <c r="M4" s="1" t="s">
        <v>38</v>
      </c>
      <c r="N4" s="1" t="s">
        <v>39</v>
      </c>
      <c r="O4" s="1" t="s">
        <v>40</v>
      </c>
      <c r="P4" s="1" t="s">
        <v>41</v>
      </c>
      <c r="Q4" s="4">
        <v>14.62</v>
      </c>
      <c r="R4" s="1">
        <v>2</v>
      </c>
      <c r="S4" s="5">
        <v>0</v>
      </c>
      <c r="T4" s="4">
        <v>6.8714000000000004</v>
      </c>
      <c r="U4" s="6" t="str">
        <f t="shared" si="1"/>
        <v>Profit</v>
      </c>
      <c r="V4" s="6" t="str">
        <f t="shared" si="2"/>
        <v>Low Sales</v>
      </c>
      <c r="AD4" s="19" t="s">
        <v>600</v>
      </c>
      <c r="AE4" s="32" t="s">
        <v>601</v>
      </c>
    </row>
    <row r="5" spans="1:31" x14ac:dyDescent="0.3">
      <c r="A5" s="1">
        <v>4</v>
      </c>
      <c r="B5" s="2">
        <v>41193</v>
      </c>
      <c r="C5" s="1">
        <v>2012</v>
      </c>
      <c r="D5" s="3" t="s">
        <v>42</v>
      </c>
      <c r="E5" s="2">
        <v>41200</v>
      </c>
      <c r="F5" s="1">
        <f t="shared" si="0"/>
        <v>7</v>
      </c>
      <c r="G5" s="1" t="s">
        <v>43</v>
      </c>
      <c r="H5" s="1" t="s">
        <v>44</v>
      </c>
      <c r="I5" s="1" t="s">
        <v>23</v>
      </c>
      <c r="J5" s="1" t="s">
        <v>24</v>
      </c>
      <c r="K5" s="1" t="s">
        <v>45</v>
      </c>
      <c r="L5" s="1" t="s">
        <v>46</v>
      </c>
      <c r="M5" s="1" t="s">
        <v>27</v>
      </c>
      <c r="N5" s="1" t="s">
        <v>28</v>
      </c>
      <c r="O5" s="1" t="s">
        <v>47</v>
      </c>
      <c r="P5" s="1" t="s">
        <v>48</v>
      </c>
      <c r="Q5" s="4">
        <v>957.57749999999999</v>
      </c>
      <c r="R5" s="1">
        <v>5</v>
      </c>
      <c r="S5" s="5">
        <v>0.45</v>
      </c>
      <c r="T5" s="4">
        <v>-383.03100000000001</v>
      </c>
      <c r="U5" s="6" t="str">
        <f t="shared" si="1"/>
        <v>Loss</v>
      </c>
      <c r="V5" s="6" t="str">
        <f t="shared" si="2"/>
        <v>Medium Sales</v>
      </c>
      <c r="AE5" s="32"/>
    </row>
    <row r="6" spans="1:31" x14ac:dyDescent="0.3">
      <c r="A6" s="1">
        <v>5</v>
      </c>
      <c r="B6" s="2">
        <v>41193</v>
      </c>
      <c r="C6" s="1">
        <v>2012</v>
      </c>
      <c r="D6" s="3" t="s">
        <v>42</v>
      </c>
      <c r="E6" s="2">
        <v>41200</v>
      </c>
      <c r="F6" s="1">
        <f t="shared" si="0"/>
        <v>7</v>
      </c>
      <c r="G6" s="1" t="s">
        <v>43</v>
      </c>
      <c r="H6" s="1" t="s">
        <v>44</v>
      </c>
      <c r="I6" s="1" t="s">
        <v>23</v>
      </c>
      <c r="J6" s="1" t="s">
        <v>24</v>
      </c>
      <c r="K6" s="1" t="s">
        <v>45</v>
      </c>
      <c r="L6" s="1" t="s">
        <v>46</v>
      </c>
      <c r="M6" s="1" t="s">
        <v>27</v>
      </c>
      <c r="N6" s="1" t="s">
        <v>39</v>
      </c>
      <c r="O6" s="1" t="s">
        <v>49</v>
      </c>
      <c r="P6" s="1" t="s">
        <v>50</v>
      </c>
      <c r="Q6" s="4">
        <v>22.367999999999999</v>
      </c>
      <c r="R6" s="1">
        <v>2</v>
      </c>
      <c r="S6" s="5">
        <v>0.2</v>
      </c>
      <c r="T6" s="4">
        <v>2.5164</v>
      </c>
      <c r="U6" s="6" t="str">
        <f t="shared" si="1"/>
        <v>Profit</v>
      </c>
      <c r="V6" s="6" t="str">
        <f t="shared" si="2"/>
        <v>Low Sales</v>
      </c>
      <c r="W6" s="24" t="s">
        <v>585</v>
      </c>
      <c r="X6" s="25"/>
    </row>
    <row r="7" spans="1:31" x14ac:dyDescent="0.3">
      <c r="A7" s="1">
        <v>6</v>
      </c>
      <c r="B7" s="2">
        <v>40703</v>
      </c>
      <c r="C7" s="1">
        <v>2011</v>
      </c>
      <c r="D7" s="3" t="s">
        <v>33</v>
      </c>
      <c r="E7" s="2">
        <v>40708</v>
      </c>
      <c r="F7" s="1">
        <f t="shared" si="0"/>
        <v>5</v>
      </c>
      <c r="G7" s="1" t="s">
        <v>43</v>
      </c>
      <c r="H7" s="1" t="s">
        <v>51</v>
      </c>
      <c r="I7" s="1" t="s">
        <v>23</v>
      </c>
      <c r="J7" s="1" t="s">
        <v>24</v>
      </c>
      <c r="K7" s="1" t="s">
        <v>36</v>
      </c>
      <c r="L7" s="1" t="s">
        <v>37</v>
      </c>
      <c r="M7" s="1" t="s">
        <v>38</v>
      </c>
      <c r="N7" s="1" t="s">
        <v>28</v>
      </c>
      <c r="O7" s="1" t="s">
        <v>52</v>
      </c>
      <c r="P7" s="1" t="s">
        <v>53</v>
      </c>
      <c r="Q7" s="4">
        <v>48.86</v>
      </c>
      <c r="R7" s="1">
        <v>7</v>
      </c>
      <c r="S7" s="5">
        <v>0</v>
      </c>
      <c r="T7" s="4">
        <v>14.1694</v>
      </c>
      <c r="U7" s="6" t="str">
        <f t="shared" si="1"/>
        <v>Profit</v>
      </c>
      <c r="V7" s="6" t="str">
        <f t="shared" si="2"/>
        <v>Low Sales</v>
      </c>
      <c r="W7" s="6" t="s">
        <v>586</v>
      </c>
      <c r="X7" s="6" t="s">
        <v>10</v>
      </c>
    </row>
    <row r="8" spans="1:31" x14ac:dyDescent="0.3">
      <c r="A8" s="1">
        <v>7</v>
      </c>
      <c r="B8" s="2">
        <v>40703</v>
      </c>
      <c r="C8" s="1">
        <v>2011</v>
      </c>
      <c r="D8" s="3" t="s">
        <v>33</v>
      </c>
      <c r="E8" s="2">
        <v>40708</v>
      </c>
      <c r="F8" s="1">
        <f t="shared" si="0"/>
        <v>5</v>
      </c>
      <c r="G8" s="1" t="s">
        <v>43</v>
      </c>
      <c r="H8" s="1" t="s">
        <v>51</v>
      </c>
      <c r="I8" s="1" t="s">
        <v>23</v>
      </c>
      <c r="J8" s="1" t="s">
        <v>24</v>
      </c>
      <c r="K8" s="1" t="s">
        <v>36</v>
      </c>
      <c r="L8" s="1" t="s">
        <v>37</v>
      </c>
      <c r="M8" s="1" t="s">
        <v>38</v>
      </c>
      <c r="N8" s="1" t="s">
        <v>39</v>
      </c>
      <c r="O8" s="1" t="s">
        <v>54</v>
      </c>
      <c r="P8" s="1" t="s">
        <v>55</v>
      </c>
      <c r="Q8" s="4">
        <v>7.28</v>
      </c>
      <c r="R8" s="1">
        <v>4</v>
      </c>
      <c r="S8" s="5">
        <v>0</v>
      </c>
      <c r="T8" s="4">
        <v>1.9656</v>
      </c>
      <c r="U8" s="6" t="str">
        <f t="shared" si="1"/>
        <v>Profit</v>
      </c>
      <c r="V8" s="6" t="str">
        <f t="shared" si="2"/>
        <v>Low Sales</v>
      </c>
      <c r="W8" s="1" t="s">
        <v>34</v>
      </c>
      <c r="X8" s="6" t="str">
        <f>INDEX(K:K,MATCH(W8,H:H,0))</f>
        <v>Los Angeles</v>
      </c>
      <c r="AD8" s="28" t="s">
        <v>602</v>
      </c>
      <c r="AE8" s="29"/>
    </row>
    <row r="9" spans="1:31" x14ac:dyDescent="0.3">
      <c r="A9" s="1">
        <v>8</v>
      </c>
      <c r="B9" s="2">
        <v>40703</v>
      </c>
      <c r="C9" s="1">
        <v>2011</v>
      </c>
      <c r="D9" s="3" t="s">
        <v>33</v>
      </c>
      <c r="E9" s="2">
        <v>40708</v>
      </c>
      <c r="F9" s="1">
        <f t="shared" si="0"/>
        <v>5</v>
      </c>
      <c r="G9" s="1" t="s">
        <v>43</v>
      </c>
      <c r="H9" s="1" t="s">
        <v>51</v>
      </c>
      <c r="I9" s="1" t="s">
        <v>23</v>
      </c>
      <c r="J9" s="1" t="s">
        <v>24</v>
      </c>
      <c r="K9" s="1" t="s">
        <v>36</v>
      </c>
      <c r="L9" s="1" t="s">
        <v>37</v>
      </c>
      <c r="M9" s="1" t="s">
        <v>38</v>
      </c>
      <c r="N9" s="1" t="s">
        <v>56</v>
      </c>
      <c r="O9" s="1" t="s">
        <v>57</v>
      </c>
      <c r="P9" s="1" t="s">
        <v>58</v>
      </c>
      <c r="Q9" s="4">
        <v>907.15200000000004</v>
      </c>
      <c r="R9" s="1">
        <v>6</v>
      </c>
      <c r="S9" s="5">
        <v>0.2</v>
      </c>
      <c r="T9" s="4">
        <v>90.715199999999996</v>
      </c>
      <c r="U9" s="6" t="str">
        <f t="shared" si="1"/>
        <v>Profit</v>
      </c>
      <c r="V9" s="6" t="str">
        <f t="shared" si="2"/>
        <v>Medium Sales</v>
      </c>
      <c r="AD9" s="30"/>
      <c r="AE9" s="31"/>
    </row>
    <row r="10" spans="1:31" x14ac:dyDescent="0.3">
      <c r="A10" s="1">
        <v>9</v>
      </c>
      <c r="B10" s="2">
        <v>40703</v>
      </c>
      <c r="C10" s="1">
        <v>2011</v>
      </c>
      <c r="D10" s="3" t="s">
        <v>33</v>
      </c>
      <c r="E10" s="2">
        <v>40708</v>
      </c>
      <c r="F10" s="1">
        <f t="shared" si="0"/>
        <v>5</v>
      </c>
      <c r="G10" s="1" t="s">
        <v>43</v>
      </c>
      <c r="H10" s="1" t="s">
        <v>51</v>
      </c>
      <c r="I10" s="1" t="s">
        <v>23</v>
      </c>
      <c r="J10" s="1" t="s">
        <v>24</v>
      </c>
      <c r="K10" s="1" t="s">
        <v>36</v>
      </c>
      <c r="L10" s="1" t="s">
        <v>37</v>
      </c>
      <c r="M10" s="1" t="s">
        <v>38</v>
      </c>
      <c r="N10" s="1" t="s">
        <v>39</v>
      </c>
      <c r="O10" s="1" t="s">
        <v>59</v>
      </c>
      <c r="P10" s="1" t="s">
        <v>60</v>
      </c>
      <c r="Q10" s="4">
        <v>18.504000000000001</v>
      </c>
      <c r="R10" s="1">
        <v>3</v>
      </c>
      <c r="S10" s="5">
        <v>0.2</v>
      </c>
      <c r="T10" s="4">
        <v>5.7824999999999998</v>
      </c>
      <c r="U10" s="6" t="str">
        <f t="shared" si="1"/>
        <v>Profit</v>
      </c>
      <c r="V10" s="6" t="str">
        <f t="shared" si="2"/>
        <v>Low Sales</v>
      </c>
      <c r="AD10" s="17" t="s">
        <v>603</v>
      </c>
      <c r="AE10" s="18"/>
    </row>
    <row r="11" spans="1:31" x14ac:dyDescent="0.3">
      <c r="A11" s="1">
        <v>10</v>
      </c>
      <c r="B11" s="2">
        <v>40703</v>
      </c>
      <c r="C11" s="1">
        <v>2011</v>
      </c>
      <c r="D11" s="3" t="s">
        <v>33</v>
      </c>
      <c r="E11" s="2">
        <v>40708</v>
      </c>
      <c r="F11" s="1">
        <f t="shared" si="0"/>
        <v>5</v>
      </c>
      <c r="G11" s="1" t="s">
        <v>43</v>
      </c>
      <c r="H11" s="1" t="s">
        <v>51</v>
      </c>
      <c r="I11" s="1" t="s">
        <v>23</v>
      </c>
      <c r="J11" s="1" t="s">
        <v>24</v>
      </c>
      <c r="K11" s="1" t="s">
        <v>36</v>
      </c>
      <c r="L11" s="1" t="s">
        <v>37</v>
      </c>
      <c r="M11" s="1" t="s">
        <v>38</v>
      </c>
      <c r="N11" s="1" t="s">
        <v>39</v>
      </c>
      <c r="O11" s="1" t="s">
        <v>61</v>
      </c>
      <c r="P11" s="1" t="s">
        <v>62</v>
      </c>
      <c r="Q11" s="4">
        <v>114.9</v>
      </c>
      <c r="R11" s="1">
        <v>5</v>
      </c>
      <c r="S11" s="5">
        <v>0</v>
      </c>
      <c r="T11" s="4">
        <v>34.47</v>
      </c>
      <c r="U11" s="6" t="str">
        <f t="shared" si="1"/>
        <v>Profit</v>
      </c>
      <c r="V11" s="6" t="str">
        <f t="shared" si="2"/>
        <v>Low Sales</v>
      </c>
    </row>
    <row r="12" spans="1:31" x14ac:dyDescent="0.3">
      <c r="A12" s="1">
        <v>11</v>
      </c>
      <c r="B12" s="2">
        <v>40703</v>
      </c>
      <c r="C12" s="1">
        <v>2011</v>
      </c>
      <c r="D12" s="3" t="s">
        <v>33</v>
      </c>
      <c r="E12" s="2">
        <v>40708</v>
      </c>
      <c r="F12" s="1">
        <f t="shared" si="0"/>
        <v>5</v>
      </c>
      <c r="G12" s="1" t="s">
        <v>43</v>
      </c>
      <c r="H12" s="1" t="s">
        <v>51</v>
      </c>
      <c r="I12" s="1" t="s">
        <v>23</v>
      </c>
      <c r="J12" s="1" t="s">
        <v>24</v>
      </c>
      <c r="K12" s="1" t="s">
        <v>36</v>
      </c>
      <c r="L12" s="1" t="s">
        <v>37</v>
      </c>
      <c r="M12" s="1" t="s">
        <v>38</v>
      </c>
      <c r="N12" s="1" t="s">
        <v>28</v>
      </c>
      <c r="O12" s="1" t="s">
        <v>47</v>
      </c>
      <c r="P12" s="1" t="s">
        <v>63</v>
      </c>
      <c r="Q12" s="4">
        <v>1706.184</v>
      </c>
      <c r="R12" s="1">
        <v>9</v>
      </c>
      <c r="S12" s="5">
        <v>0.2</v>
      </c>
      <c r="T12" s="4">
        <v>85.309200000000004</v>
      </c>
      <c r="U12" s="6" t="str">
        <f t="shared" si="1"/>
        <v>Profit</v>
      </c>
      <c r="V12" s="6" t="str">
        <f t="shared" si="2"/>
        <v>High Sales</v>
      </c>
    </row>
    <row r="13" spans="1:31" x14ac:dyDescent="0.3">
      <c r="A13" s="1">
        <v>12</v>
      </c>
      <c r="B13" s="2">
        <v>40703</v>
      </c>
      <c r="C13" s="1">
        <v>2011</v>
      </c>
      <c r="D13" s="3" t="s">
        <v>33</v>
      </c>
      <c r="E13" s="2">
        <v>40708</v>
      </c>
      <c r="F13" s="1">
        <f t="shared" si="0"/>
        <v>5</v>
      </c>
      <c r="G13" s="1" t="s">
        <v>43</v>
      </c>
      <c r="H13" s="1" t="s">
        <v>51</v>
      </c>
      <c r="I13" s="1" t="s">
        <v>23</v>
      </c>
      <c r="J13" s="1" t="s">
        <v>24</v>
      </c>
      <c r="K13" s="1" t="s">
        <v>36</v>
      </c>
      <c r="L13" s="1" t="s">
        <v>37</v>
      </c>
      <c r="M13" s="1" t="s">
        <v>38</v>
      </c>
      <c r="N13" s="1" t="s">
        <v>56</v>
      </c>
      <c r="O13" s="1" t="s">
        <v>57</v>
      </c>
      <c r="P13" s="1" t="s">
        <v>64</v>
      </c>
      <c r="Q13" s="4">
        <v>911.42399999999998</v>
      </c>
      <c r="R13" s="1">
        <v>4</v>
      </c>
      <c r="S13" s="5">
        <v>0.2</v>
      </c>
      <c r="T13" s="4">
        <v>68.356800000000007</v>
      </c>
      <c r="U13" s="6" t="str">
        <f t="shared" si="1"/>
        <v>Profit</v>
      </c>
      <c r="V13" s="6" t="str">
        <f t="shared" si="2"/>
        <v>Medium Sales</v>
      </c>
    </row>
    <row r="14" spans="1:31" x14ac:dyDescent="0.3">
      <c r="A14" s="1">
        <v>13</v>
      </c>
      <c r="B14" s="2">
        <v>41745</v>
      </c>
      <c r="C14" s="1">
        <v>2014</v>
      </c>
      <c r="D14" s="3" t="s">
        <v>65</v>
      </c>
      <c r="E14" s="2">
        <v>41750</v>
      </c>
      <c r="F14" s="1">
        <f t="shared" si="0"/>
        <v>5</v>
      </c>
      <c r="G14" s="1" t="s">
        <v>43</v>
      </c>
      <c r="H14" s="1" t="s">
        <v>66</v>
      </c>
      <c r="I14" s="1" t="s">
        <v>23</v>
      </c>
      <c r="J14" s="1" t="s">
        <v>24</v>
      </c>
      <c r="K14" s="1" t="s">
        <v>67</v>
      </c>
      <c r="L14" s="1" t="s">
        <v>68</v>
      </c>
      <c r="M14" s="1" t="s">
        <v>27</v>
      </c>
      <c r="N14" s="1" t="s">
        <v>39</v>
      </c>
      <c r="O14" s="1" t="s">
        <v>69</v>
      </c>
      <c r="P14" s="1" t="s">
        <v>70</v>
      </c>
      <c r="Q14" s="4">
        <v>15.552</v>
      </c>
      <c r="R14" s="1">
        <v>3</v>
      </c>
      <c r="S14" s="5">
        <v>0.2</v>
      </c>
      <c r="T14" s="4">
        <v>5.4432</v>
      </c>
      <c r="U14" s="6" t="str">
        <f t="shared" si="1"/>
        <v>Profit</v>
      </c>
      <c r="V14" s="6" t="str">
        <f t="shared" si="2"/>
        <v>Low Sales</v>
      </c>
    </row>
    <row r="15" spans="1:31" x14ac:dyDescent="0.3">
      <c r="A15" s="1">
        <v>14</v>
      </c>
      <c r="B15" s="2">
        <v>41614</v>
      </c>
      <c r="C15" s="1">
        <v>2013</v>
      </c>
      <c r="D15" s="3" t="s">
        <v>71</v>
      </c>
      <c r="E15" s="2">
        <v>41619</v>
      </c>
      <c r="F15" s="1">
        <f t="shared" si="0"/>
        <v>5</v>
      </c>
      <c r="G15" s="1" t="s">
        <v>43</v>
      </c>
      <c r="H15" s="1" t="s">
        <v>72</v>
      </c>
      <c r="I15" s="1" t="s">
        <v>23</v>
      </c>
      <c r="J15" s="1" t="s">
        <v>24</v>
      </c>
      <c r="K15" s="1" t="s">
        <v>73</v>
      </c>
      <c r="L15" s="1" t="s">
        <v>74</v>
      </c>
      <c r="M15" s="1" t="s">
        <v>38</v>
      </c>
      <c r="N15" s="1" t="s">
        <v>39</v>
      </c>
      <c r="O15" s="1" t="s">
        <v>59</v>
      </c>
      <c r="P15" s="1" t="s">
        <v>75</v>
      </c>
      <c r="Q15" s="4">
        <v>407.976</v>
      </c>
      <c r="R15" s="1">
        <v>3</v>
      </c>
      <c r="S15" s="5">
        <v>0.2</v>
      </c>
      <c r="T15" s="4">
        <v>132.59219999999999</v>
      </c>
      <c r="U15" s="6" t="str">
        <f t="shared" si="1"/>
        <v>Profit</v>
      </c>
      <c r="V15" s="6" t="str">
        <f t="shared" si="2"/>
        <v>Low Sales</v>
      </c>
    </row>
    <row r="16" spans="1:31" x14ac:dyDescent="0.3">
      <c r="A16" s="1">
        <v>15</v>
      </c>
      <c r="B16" s="2">
        <v>41235</v>
      </c>
      <c r="C16" s="1">
        <v>2012</v>
      </c>
      <c r="D16" s="3" t="s">
        <v>20</v>
      </c>
      <c r="E16" s="2">
        <v>41239</v>
      </c>
      <c r="F16" s="1">
        <f t="shared" si="0"/>
        <v>4</v>
      </c>
      <c r="G16" s="1" t="s">
        <v>43</v>
      </c>
      <c r="H16" s="1" t="s">
        <v>76</v>
      </c>
      <c r="I16" s="1" t="s">
        <v>77</v>
      </c>
      <c r="J16" s="1" t="s">
        <v>24</v>
      </c>
      <c r="K16" s="1" t="s">
        <v>78</v>
      </c>
      <c r="L16" s="1" t="s">
        <v>79</v>
      </c>
      <c r="M16" s="1" t="s">
        <v>80</v>
      </c>
      <c r="N16" s="1" t="s">
        <v>39</v>
      </c>
      <c r="O16" s="1" t="s">
        <v>61</v>
      </c>
      <c r="P16" s="1" t="s">
        <v>81</v>
      </c>
      <c r="Q16" s="4">
        <v>68.81</v>
      </c>
      <c r="R16" s="1">
        <v>5</v>
      </c>
      <c r="S16" s="5">
        <v>0.8</v>
      </c>
      <c r="T16" s="4">
        <v>-123.858</v>
      </c>
      <c r="U16" s="6" t="str">
        <f t="shared" si="1"/>
        <v>Loss</v>
      </c>
      <c r="V16" s="6" t="str">
        <f t="shared" si="2"/>
        <v>Low Sales</v>
      </c>
    </row>
    <row r="17" spans="1:22" x14ac:dyDescent="0.3">
      <c r="A17" s="1">
        <v>16</v>
      </c>
      <c r="B17" s="2">
        <v>41235</v>
      </c>
      <c r="C17" s="1">
        <v>2012</v>
      </c>
      <c r="D17" s="3" t="s">
        <v>20</v>
      </c>
      <c r="E17" s="2">
        <v>41239</v>
      </c>
      <c r="F17" s="1">
        <f t="shared" si="0"/>
        <v>4</v>
      </c>
      <c r="G17" s="1" t="s">
        <v>43</v>
      </c>
      <c r="H17" s="1" t="s">
        <v>76</v>
      </c>
      <c r="I17" s="1" t="s">
        <v>77</v>
      </c>
      <c r="J17" s="1" t="s">
        <v>24</v>
      </c>
      <c r="K17" s="1" t="s">
        <v>78</v>
      </c>
      <c r="L17" s="1" t="s">
        <v>79</v>
      </c>
      <c r="M17" s="1" t="s">
        <v>80</v>
      </c>
      <c r="N17" s="1" t="s">
        <v>39</v>
      </c>
      <c r="O17" s="1" t="s">
        <v>59</v>
      </c>
      <c r="P17" s="1" t="s">
        <v>82</v>
      </c>
      <c r="Q17" s="4">
        <v>2.544</v>
      </c>
      <c r="R17" s="1">
        <v>3</v>
      </c>
      <c r="S17" s="5">
        <v>0.8</v>
      </c>
      <c r="T17" s="4">
        <v>-3.8159999999999998</v>
      </c>
      <c r="U17" s="6" t="str">
        <f t="shared" si="1"/>
        <v>Loss</v>
      </c>
      <c r="V17" s="6" t="str">
        <f t="shared" si="2"/>
        <v>Low Sales</v>
      </c>
    </row>
    <row r="18" spans="1:22" x14ac:dyDescent="0.3">
      <c r="A18" s="1">
        <v>17</v>
      </c>
      <c r="B18" s="2">
        <v>40858</v>
      </c>
      <c r="C18" s="1">
        <v>2011</v>
      </c>
      <c r="D18" s="3" t="s">
        <v>20</v>
      </c>
      <c r="E18" s="2">
        <v>40865</v>
      </c>
      <c r="F18" s="1">
        <f t="shared" si="0"/>
        <v>7</v>
      </c>
      <c r="G18" s="1" t="s">
        <v>43</v>
      </c>
      <c r="H18" s="1" t="s">
        <v>83</v>
      </c>
      <c r="I18" s="1" t="s">
        <v>23</v>
      </c>
      <c r="J18" s="1" t="s">
        <v>24</v>
      </c>
      <c r="K18" s="1" t="s">
        <v>84</v>
      </c>
      <c r="L18" s="1" t="s">
        <v>85</v>
      </c>
      <c r="M18" s="1" t="s">
        <v>80</v>
      </c>
      <c r="N18" s="1" t="s">
        <v>39</v>
      </c>
      <c r="O18" s="1" t="s">
        <v>49</v>
      </c>
      <c r="P18" s="1" t="s">
        <v>86</v>
      </c>
      <c r="Q18" s="4">
        <v>665.88</v>
      </c>
      <c r="R18" s="1">
        <v>6</v>
      </c>
      <c r="S18" s="5">
        <v>0</v>
      </c>
      <c r="T18" s="4">
        <v>13.317600000000001</v>
      </c>
      <c r="U18" s="6" t="str">
        <f t="shared" si="1"/>
        <v>Profit</v>
      </c>
      <c r="V18" s="6" t="str">
        <f t="shared" si="2"/>
        <v>Medium Sales</v>
      </c>
    </row>
    <row r="19" spans="1:22" x14ac:dyDescent="0.3">
      <c r="A19" s="1">
        <v>18</v>
      </c>
      <c r="B19" s="2">
        <v>40676</v>
      </c>
      <c r="C19" s="1">
        <v>2011</v>
      </c>
      <c r="D19" s="3" t="s">
        <v>87</v>
      </c>
      <c r="E19" s="2">
        <v>40678</v>
      </c>
      <c r="F19" s="1">
        <f t="shared" si="0"/>
        <v>2</v>
      </c>
      <c r="G19" s="1" t="s">
        <v>21</v>
      </c>
      <c r="H19" s="1" t="s">
        <v>88</v>
      </c>
      <c r="I19" s="1" t="s">
        <v>23</v>
      </c>
      <c r="J19" s="1" t="s">
        <v>24</v>
      </c>
      <c r="K19" s="1" t="s">
        <v>89</v>
      </c>
      <c r="L19" s="1" t="s">
        <v>90</v>
      </c>
      <c r="M19" s="1" t="s">
        <v>38</v>
      </c>
      <c r="N19" s="1" t="s">
        <v>39</v>
      </c>
      <c r="O19" s="1" t="s">
        <v>49</v>
      </c>
      <c r="P19" s="1" t="s">
        <v>91</v>
      </c>
      <c r="Q19" s="4">
        <v>55.5</v>
      </c>
      <c r="R19" s="1">
        <v>2</v>
      </c>
      <c r="S19" s="5">
        <v>0</v>
      </c>
      <c r="T19" s="4">
        <v>9.99</v>
      </c>
      <c r="U19" s="6" t="str">
        <f t="shared" si="1"/>
        <v>Profit</v>
      </c>
      <c r="V19" s="6" t="str">
        <f t="shared" si="2"/>
        <v>Low Sales</v>
      </c>
    </row>
    <row r="20" spans="1:22" x14ac:dyDescent="0.3">
      <c r="A20" s="1">
        <v>19</v>
      </c>
      <c r="B20" s="2">
        <v>40782</v>
      </c>
      <c r="C20" s="1">
        <v>2011</v>
      </c>
      <c r="D20" s="3" t="s">
        <v>92</v>
      </c>
      <c r="E20" s="2">
        <v>40787</v>
      </c>
      <c r="F20" s="1">
        <f t="shared" si="0"/>
        <v>5</v>
      </c>
      <c r="G20" s="1" t="s">
        <v>21</v>
      </c>
      <c r="H20" s="1" t="s">
        <v>93</v>
      </c>
      <c r="I20" s="1" t="s">
        <v>23</v>
      </c>
      <c r="J20" s="1" t="s">
        <v>24</v>
      </c>
      <c r="K20" s="1" t="s">
        <v>94</v>
      </c>
      <c r="L20" s="1" t="s">
        <v>37</v>
      </c>
      <c r="M20" s="1" t="s">
        <v>38</v>
      </c>
      <c r="N20" s="1" t="s">
        <v>39</v>
      </c>
      <c r="O20" s="1" t="s">
        <v>54</v>
      </c>
      <c r="P20" s="1" t="s">
        <v>95</v>
      </c>
      <c r="Q20" s="4">
        <v>8.56</v>
      </c>
      <c r="R20" s="1">
        <v>2</v>
      </c>
      <c r="S20" s="5">
        <v>0</v>
      </c>
      <c r="T20" s="4">
        <v>2.4824000000000002</v>
      </c>
      <c r="U20" s="6" t="str">
        <f t="shared" si="1"/>
        <v>Profit</v>
      </c>
      <c r="V20" s="6" t="str">
        <f t="shared" si="2"/>
        <v>Low Sales</v>
      </c>
    </row>
    <row r="21" spans="1:22" x14ac:dyDescent="0.3">
      <c r="A21" s="1">
        <v>20</v>
      </c>
      <c r="B21" s="2">
        <v>40782</v>
      </c>
      <c r="C21" s="1">
        <v>2011</v>
      </c>
      <c r="D21" s="3" t="s">
        <v>92</v>
      </c>
      <c r="E21" s="2">
        <v>40787</v>
      </c>
      <c r="F21" s="1">
        <f t="shared" si="0"/>
        <v>5</v>
      </c>
      <c r="G21" s="1" t="s">
        <v>21</v>
      </c>
      <c r="H21" s="1" t="s">
        <v>93</v>
      </c>
      <c r="I21" s="1" t="s">
        <v>23</v>
      </c>
      <c r="J21" s="1" t="s">
        <v>24</v>
      </c>
      <c r="K21" s="1" t="s">
        <v>94</v>
      </c>
      <c r="L21" s="1" t="s">
        <v>37</v>
      </c>
      <c r="M21" s="1" t="s">
        <v>38</v>
      </c>
      <c r="N21" s="1" t="s">
        <v>56</v>
      </c>
      <c r="O21" s="1" t="s">
        <v>57</v>
      </c>
      <c r="P21" s="1" t="s">
        <v>96</v>
      </c>
      <c r="Q21" s="4">
        <v>213.48</v>
      </c>
      <c r="R21" s="1">
        <v>3</v>
      </c>
      <c r="S21" s="5">
        <v>0.2</v>
      </c>
      <c r="T21" s="4">
        <v>16.010999999999999</v>
      </c>
      <c r="U21" s="6" t="str">
        <f t="shared" si="1"/>
        <v>Profit</v>
      </c>
      <c r="V21" s="6" t="str">
        <f t="shared" si="2"/>
        <v>Low Sales</v>
      </c>
    </row>
    <row r="22" spans="1:22" x14ac:dyDescent="0.3">
      <c r="A22" s="1">
        <v>21</v>
      </c>
      <c r="B22" s="2">
        <v>40782</v>
      </c>
      <c r="C22" s="1">
        <v>2011</v>
      </c>
      <c r="D22" s="3" t="s">
        <v>92</v>
      </c>
      <c r="E22" s="2">
        <v>40787</v>
      </c>
      <c r="F22" s="1">
        <f t="shared" si="0"/>
        <v>5</v>
      </c>
      <c r="G22" s="1" t="s">
        <v>21</v>
      </c>
      <c r="H22" s="1" t="s">
        <v>93</v>
      </c>
      <c r="I22" s="1" t="s">
        <v>23</v>
      </c>
      <c r="J22" s="1" t="s">
        <v>24</v>
      </c>
      <c r="K22" s="1" t="s">
        <v>94</v>
      </c>
      <c r="L22" s="1" t="s">
        <v>37</v>
      </c>
      <c r="M22" s="1" t="s">
        <v>38</v>
      </c>
      <c r="N22" s="1" t="s">
        <v>39</v>
      </c>
      <c r="O22" s="1" t="s">
        <v>59</v>
      </c>
      <c r="P22" s="1" t="s">
        <v>97</v>
      </c>
      <c r="Q22" s="4">
        <v>22.72</v>
      </c>
      <c r="R22" s="1">
        <v>4</v>
      </c>
      <c r="S22" s="5">
        <v>0.2</v>
      </c>
      <c r="T22" s="4">
        <v>7.3840000000000003</v>
      </c>
      <c r="U22" s="6" t="str">
        <f t="shared" si="1"/>
        <v>Profit</v>
      </c>
      <c r="V22" s="6" t="str">
        <f t="shared" si="2"/>
        <v>Low Sales</v>
      </c>
    </row>
    <row r="23" spans="1:22" x14ac:dyDescent="0.3">
      <c r="A23" s="1">
        <v>22</v>
      </c>
      <c r="B23" s="2">
        <v>41618</v>
      </c>
      <c r="C23" s="1">
        <v>2013</v>
      </c>
      <c r="D23" s="3" t="s">
        <v>71</v>
      </c>
      <c r="E23" s="2">
        <v>41622</v>
      </c>
      <c r="F23" s="1">
        <f t="shared" si="0"/>
        <v>4</v>
      </c>
      <c r="G23" s="1" t="s">
        <v>43</v>
      </c>
      <c r="H23" s="1" t="s">
        <v>98</v>
      </c>
      <c r="I23" s="1" t="s">
        <v>35</v>
      </c>
      <c r="J23" s="1" t="s">
        <v>24</v>
      </c>
      <c r="K23" s="1" t="s">
        <v>99</v>
      </c>
      <c r="L23" s="1" t="s">
        <v>100</v>
      </c>
      <c r="M23" s="1" t="s">
        <v>80</v>
      </c>
      <c r="N23" s="1" t="s">
        <v>39</v>
      </c>
      <c r="O23" s="1" t="s">
        <v>54</v>
      </c>
      <c r="P23" s="1" t="s">
        <v>101</v>
      </c>
      <c r="Q23" s="4">
        <v>19.46</v>
      </c>
      <c r="R23" s="1">
        <v>7</v>
      </c>
      <c r="S23" s="5">
        <v>0</v>
      </c>
      <c r="T23" s="4">
        <v>5.0595999999999997</v>
      </c>
      <c r="U23" s="6" t="str">
        <f t="shared" si="1"/>
        <v>Profit</v>
      </c>
      <c r="V23" s="6" t="str">
        <f t="shared" si="2"/>
        <v>Low Sales</v>
      </c>
    </row>
    <row r="24" spans="1:22" x14ac:dyDescent="0.3">
      <c r="A24" s="1">
        <v>23</v>
      </c>
      <c r="B24" s="2">
        <v>41618</v>
      </c>
      <c r="C24" s="1">
        <v>2013</v>
      </c>
      <c r="D24" s="3" t="s">
        <v>71</v>
      </c>
      <c r="E24" s="2">
        <v>41622</v>
      </c>
      <c r="F24" s="1">
        <f t="shared" si="0"/>
        <v>4</v>
      </c>
      <c r="G24" s="1" t="s">
        <v>43</v>
      </c>
      <c r="H24" s="1" t="s">
        <v>98</v>
      </c>
      <c r="I24" s="1" t="s">
        <v>35</v>
      </c>
      <c r="J24" s="1" t="s">
        <v>24</v>
      </c>
      <c r="K24" s="1" t="s">
        <v>99</v>
      </c>
      <c r="L24" s="1" t="s">
        <v>100</v>
      </c>
      <c r="M24" s="1" t="s">
        <v>80</v>
      </c>
      <c r="N24" s="1" t="s">
        <v>39</v>
      </c>
      <c r="O24" s="1" t="s">
        <v>61</v>
      </c>
      <c r="P24" s="1" t="s">
        <v>102</v>
      </c>
      <c r="Q24" s="4">
        <v>60.34</v>
      </c>
      <c r="R24" s="1">
        <v>7</v>
      </c>
      <c r="S24" s="5">
        <v>0</v>
      </c>
      <c r="T24" s="4">
        <v>15.6884</v>
      </c>
      <c r="U24" s="6" t="str">
        <f t="shared" si="1"/>
        <v>Profit</v>
      </c>
      <c r="V24" s="6" t="str">
        <f t="shared" si="2"/>
        <v>Low Sales</v>
      </c>
    </row>
    <row r="25" spans="1:22" x14ac:dyDescent="0.3">
      <c r="A25" s="1">
        <v>24</v>
      </c>
      <c r="B25" s="2">
        <v>41837</v>
      </c>
      <c r="C25" s="1">
        <v>2014</v>
      </c>
      <c r="D25" s="3" t="s">
        <v>103</v>
      </c>
      <c r="E25" s="2">
        <v>41839</v>
      </c>
      <c r="F25" s="1">
        <f t="shared" si="0"/>
        <v>2</v>
      </c>
      <c r="G25" s="1" t="s">
        <v>21</v>
      </c>
      <c r="H25" s="1" t="s">
        <v>104</v>
      </c>
      <c r="I25" s="1" t="s">
        <v>23</v>
      </c>
      <c r="J25" s="1" t="s">
        <v>24</v>
      </c>
      <c r="K25" s="1" t="s">
        <v>105</v>
      </c>
      <c r="L25" s="1" t="s">
        <v>106</v>
      </c>
      <c r="M25" s="1" t="s">
        <v>107</v>
      </c>
      <c r="N25" s="1" t="s">
        <v>28</v>
      </c>
      <c r="O25" s="1" t="s">
        <v>31</v>
      </c>
      <c r="P25" s="1" t="s">
        <v>108</v>
      </c>
      <c r="Q25" s="4">
        <v>71.372</v>
      </c>
      <c r="R25" s="1">
        <v>2</v>
      </c>
      <c r="S25" s="5">
        <v>0.3</v>
      </c>
      <c r="T25" s="4">
        <v>-1.0196000000000001</v>
      </c>
      <c r="U25" s="6" t="str">
        <f t="shared" si="1"/>
        <v>Loss</v>
      </c>
      <c r="V25" s="6" t="str">
        <f t="shared" si="2"/>
        <v>Low Sales</v>
      </c>
    </row>
    <row r="26" spans="1:22" x14ac:dyDescent="0.3">
      <c r="A26" s="1">
        <v>25</v>
      </c>
      <c r="B26" s="2">
        <v>41177</v>
      </c>
      <c r="C26" s="1">
        <v>2012</v>
      </c>
      <c r="D26" s="3" t="s">
        <v>109</v>
      </c>
      <c r="E26" s="2">
        <v>41182</v>
      </c>
      <c r="F26" s="1">
        <f t="shared" si="0"/>
        <v>5</v>
      </c>
      <c r="G26" s="1" t="s">
        <v>43</v>
      </c>
      <c r="H26" s="1" t="s">
        <v>110</v>
      </c>
      <c r="I26" s="1" t="s">
        <v>23</v>
      </c>
      <c r="J26" s="1" t="s">
        <v>24</v>
      </c>
      <c r="K26" s="1" t="s">
        <v>111</v>
      </c>
      <c r="L26" s="1" t="s">
        <v>90</v>
      </c>
      <c r="M26" s="1" t="s">
        <v>38</v>
      </c>
      <c r="N26" s="1" t="s">
        <v>28</v>
      </c>
      <c r="O26" s="1" t="s">
        <v>47</v>
      </c>
      <c r="P26" s="1" t="s">
        <v>48</v>
      </c>
      <c r="Q26" s="4">
        <v>1044.6300000000001</v>
      </c>
      <c r="R26" s="1">
        <v>3</v>
      </c>
      <c r="S26" s="5">
        <v>0</v>
      </c>
      <c r="T26" s="4">
        <v>240.26490000000001</v>
      </c>
      <c r="U26" s="6" t="str">
        <f t="shared" si="1"/>
        <v>Profit</v>
      </c>
      <c r="V26" s="6" t="str">
        <f t="shared" si="2"/>
        <v>High Sales</v>
      </c>
    </row>
    <row r="27" spans="1:22" x14ac:dyDescent="0.3">
      <c r="A27" s="1">
        <v>26</v>
      </c>
      <c r="B27" s="2">
        <v>41290</v>
      </c>
      <c r="C27" s="1">
        <v>2013</v>
      </c>
      <c r="D27" s="3" t="s">
        <v>112</v>
      </c>
      <c r="E27" s="2">
        <v>41294</v>
      </c>
      <c r="F27" s="1">
        <f t="shared" si="0"/>
        <v>4</v>
      </c>
      <c r="G27" s="1" t="s">
        <v>21</v>
      </c>
      <c r="H27" s="1" t="s">
        <v>113</v>
      </c>
      <c r="I27" s="1" t="s">
        <v>23</v>
      </c>
      <c r="J27" s="1" t="s">
        <v>24</v>
      </c>
      <c r="K27" s="1" t="s">
        <v>36</v>
      </c>
      <c r="L27" s="1" t="s">
        <v>37</v>
      </c>
      <c r="M27" s="1" t="s">
        <v>38</v>
      </c>
      <c r="N27" s="1" t="s">
        <v>39</v>
      </c>
      <c r="O27" s="1" t="s">
        <v>59</v>
      </c>
      <c r="P27" s="1" t="s">
        <v>114</v>
      </c>
      <c r="Q27" s="4">
        <v>11.648</v>
      </c>
      <c r="R27" s="1">
        <v>2</v>
      </c>
      <c r="S27" s="5">
        <v>0.2</v>
      </c>
      <c r="T27" s="4">
        <v>4.2224000000000004</v>
      </c>
      <c r="U27" s="6" t="str">
        <f t="shared" si="1"/>
        <v>Profit</v>
      </c>
      <c r="V27" s="6" t="str">
        <f t="shared" si="2"/>
        <v>Low Sales</v>
      </c>
    </row>
    <row r="28" spans="1:22" x14ac:dyDescent="0.3">
      <c r="A28" s="1">
        <v>27</v>
      </c>
      <c r="B28" s="2">
        <v>41290</v>
      </c>
      <c r="C28" s="1">
        <v>2013</v>
      </c>
      <c r="D28" s="3" t="s">
        <v>112</v>
      </c>
      <c r="E28" s="2">
        <v>41294</v>
      </c>
      <c r="F28" s="1">
        <f t="shared" si="0"/>
        <v>4</v>
      </c>
      <c r="G28" s="1" t="s">
        <v>21</v>
      </c>
      <c r="H28" s="1" t="s">
        <v>113</v>
      </c>
      <c r="I28" s="1" t="s">
        <v>23</v>
      </c>
      <c r="J28" s="1" t="s">
        <v>24</v>
      </c>
      <c r="K28" s="1" t="s">
        <v>36</v>
      </c>
      <c r="L28" s="1" t="s">
        <v>37</v>
      </c>
      <c r="M28" s="1" t="s">
        <v>38</v>
      </c>
      <c r="N28" s="1" t="s">
        <v>56</v>
      </c>
      <c r="O28" s="1" t="s">
        <v>115</v>
      </c>
      <c r="P28" s="1" t="s">
        <v>116</v>
      </c>
      <c r="Q28" s="4">
        <v>90.57</v>
      </c>
      <c r="R28" s="1">
        <v>3</v>
      </c>
      <c r="S28" s="5">
        <v>0</v>
      </c>
      <c r="T28" s="4">
        <v>11.774100000000001</v>
      </c>
      <c r="U28" s="6" t="str">
        <f t="shared" si="1"/>
        <v>Profit</v>
      </c>
      <c r="V28" s="6" t="str">
        <f t="shared" si="2"/>
        <v>Low Sales</v>
      </c>
    </row>
    <row r="29" spans="1:22" x14ac:dyDescent="0.3">
      <c r="A29" s="1">
        <v>28</v>
      </c>
      <c r="B29" s="2">
        <v>41169</v>
      </c>
      <c r="C29" s="1">
        <v>2012</v>
      </c>
      <c r="D29" s="3" t="s">
        <v>109</v>
      </c>
      <c r="E29" s="2">
        <v>41173</v>
      </c>
      <c r="F29" s="1">
        <f t="shared" si="0"/>
        <v>4</v>
      </c>
      <c r="G29" s="1" t="s">
        <v>43</v>
      </c>
      <c r="H29" s="1" t="s">
        <v>117</v>
      </c>
      <c r="I29" s="1" t="s">
        <v>23</v>
      </c>
      <c r="J29" s="1" t="s">
        <v>24</v>
      </c>
      <c r="K29" s="1" t="s">
        <v>105</v>
      </c>
      <c r="L29" s="1" t="s">
        <v>106</v>
      </c>
      <c r="M29" s="1" t="s">
        <v>107</v>
      </c>
      <c r="N29" s="1" t="s">
        <v>28</v>
      </c>
      <c r="O29" s="1" t="s">
        <v>29</v>
      </c>
      <c r="P29" s="1" t="s">
        <v>118</v>
      </c>
      <c r="Q29" s="4">
        <v>3083.43</v>
      </c>
      <c r="R29" s="1">
        <v>7</v>
      </c>
      <c r="S29" s="5">
        <v>0.5</v>
      </c>
      <c r="T29" s="4">
        <v>-1665.0522000000001</v>
      </c>
      <c r="U29" s="6" t="str">
        <f t="shared" si="1"/>
        <v>Loss</v>
      </c>
      <c r="V29" s="6" t="str">
        <f t="shared" si="2"/>
        <v>High Sales</v>
      </c>
    </row>
    <row r="30" spans="1:22" x14ac:dyDescent="0.3">
      <c r="A30" s="1">
        <v>29</v>
      </c>
      <c r="B30" s="2">
        <v>41169</v>
      </c>
      <c r="C30" s="1">
        <v>2012</v>
      </c>
      <c r="D30" s="3" t="s">
        <v>109</v>
      </c>
      <c r="E30" s="2">
        <v>41173</v>
      </c>
      <c r="F30" s="1">
        <f t="shared" si="0"/>
        <v>4</v>
      </c>
      <c r="G30" s="1" t="s">
        <v>43</v>
      </c>
      <c r="H30" s="1" t="s">
        <v>117</v>
      </c>
      <c r="I30" s="1" t="s">
        <v>23</v>
      </c>
      <c r="J30" s="1" t="s">
        <v>24</v>
      </c>
      <c r="K30" s="1" t="s">
        <v>105</v>
      </c>
      <c r="L30" s="1" t="s">
        <v>106</v>
      </c>
      <c r="M30" s="1" t="s">
        <v>107</v>
      </c>
      <c r="N30" s="1" t="s">
        <v>39</v>
      </c>
      <c r="O30" s="1" t="s">
        <v>59</v>
      </c>
      <c r="P30" s="1" t="s">
        <v>119</v>
      </c>
      <c r="Q30" s="4">
        <v>9.6180000000000003</v>
      </c>
      <c r="R30" s="1">
        <v>2</v>
      </c>
      <c r="S30" s="5">
        <v>0.7</v>
      </c>
      <c r="T30" s="4">
        <v>-7.0532000000000004</v>
      </c>
      <c r="U30" s="6" t="str">
        <f t="shared" si="1"/>
        <v>Loss</v>
      </c>
      <c r="V30" s="6" t="str">
        <f t="shared" si="2"/>
        <v>Low Sales</v>
      </c>
    </row>
    <row r="31" spans="1:22" x14ac:dyDescent="0.3">
      <c r="A31" s="1">
        <v>30</v>
      </c>
      <c r="B31" s="2">
        <v>41169</v>
      </c>
      <c r="C31" s="1">
        <v>2012</v>
      </c>
      <c r="D31" s="3" t="s">
        <v>109</v>
      </c>
      <c r="E31" s="2">
        <v>41173</v>
      </c>
      <c r="F31" s="1">
        <f t="shared" si="0"/>
        <v>4</v>
      </c>
      <c r="G31" s="1" t="s">
        <v>43</v>
      </c>
      <c r="H31" s="1" t="s">
        <v>117</v>
      </c>
      <c r="I31" s="1" t="s">
        <v>23</v>
      </c>
      <c r="J31" s="1" t="s">
        <v>24</v>
      </c>
      <c r="K31" s="1" t="s">
        <v>105</v>
      </c>
      <c r="L31" s="1" t="s">
        <v>106</v>
      </c>
      <c r="M31" s="1" t="s">
        <v>107</v>
      </c>
      <c r="N31" s="1" t="s">
        <v>28</v>
      </c>
      <c r="O31" s="1" t="s">
        <v>52</v>
      </c>
      <c r="P31" s="1" t="s">
        <v>120</v>
      </c>
      <c r="Q31" s="4">
        <v>124.2</v>
      </c>
      <c r="R31" s="1">
        <v>3</v>
      </c>
      <c r="S31" s="5">
        <v>0.2</v>
      </c>
      <c r="T31" s="4">
        <v>15.525</v>
      </c>
      <c r="U31" s="6" t="str">
        <f t="shared" si="1"/>
        <v>Profit</v>
      </c>
      <c r="V31" s="6" t="str">
        <f t="shared" si="2"/>
        <v>Low Sales</v>
      </c>
    </row>
    <row r="32" spans="1:22" x14ac:dyDescent="0.3">
      <c r="A32" s="1">
        <v>31</v>
      </c>
      <c r="B32" s="2">
        <v>41169</v>
      </c>
      <c r="C32" s="1">
        <v>2012</v>
      </c>
      <c r="D32" s="3" t="s">
        <v>109</v>
      </c>
      <c r="E32" s="2">
        <v>41173</v>
      </c>
      <c r="F32" s="1">
        <f t="shared" si="0"/>
        <v>4</v>
      </c>
      <c r="G32" s="1" t="s">
        <v>43</v>
      </c>
      <c r="H32" s="1" t="s">
        <v>117</v>
      </c>
      <c r="I32" s="1" t="s">
        <v>23</v>
      </c>
      <c r="J32" s="1" t="s">
        <v>24</v>
      </c>
      <c r="K32" s="1" t="s">
        <v>105</v>
      </c>
      <c r="L32" s="1" t="s">
        <v>106</v>
      </c>
      <c r="M32" s="1" t="s">
        <v>107</v>
      </c>
      <c r="N32" s="1" t="s">
        <v>39</v>
      </c>
      <c r="O32" s="1" t="s">
        <v>121</v>
      </c>
      <c r="P32" s="1" t="s">
        <v>122</v>
      </c>
      <c r="Q32" s="4">
        <v>3.2639999999999998</v>
      </c>
      <c r="R32" s="1">
        <v>2</v>
      </c>
      <c r="S32" s="5">
        <v>0.2</v>
      </c>
      <c r="T32" s="4">
        <v>1.1015999999999999</v>
      </c>
      <c r="U32" s="6" t="str">
        <f t="shared" si="1"/>
        <v>Profit</v>
      </c>
      <c r="V32" s="6" t="str">
        <f t="shared" si="2"/>
        <v>Low Sales</v>
      </c>
    </row>
    <row r="33" spans="1:22" x14ac:dyDescent="0.3">
      <c r="A33" s="1">
        <v>32</v>
      </c>
      <c r="B33" s="2">
        <v>41169</v>
      </c>
      <c r="C33" s="1">
        <v>2012</v>
      </c>
      <c r="D33" s="3" t="s">
        <v>109</v>
      </c>
      <c r="E33" s="2">
        <v>41173</v>
      </c>
      <c r="F33" s="1">
        <f t="shared" si="0"/>
        <v>4</v>
      </c>
      <c r="G33" s="1" t="s">
        <v>43</v>
      </c>
      <c r="H33" s="1" t="s">
        <v>117</v>
      </c>
      <c r="I33" s="1" t="s">
        <v>23</v>
      </c>
      <c r="J33" s="1" t="s">
        <v>24</v>
      </c>
      <c r="K33" s="1" t="s">
        <v>105</v>
      </c>
      <c r="L33" s="1" t="s">
        <v>106</v>
      </c>
      <c r="M33" s="1" t="s">
        <v>107</v>
      </c>
      <c r="N33" s="1" t="s">
        <v>39</v>
      </c>
      <c r="O33" s="1" t="s">
        <v>54</v>
      </c>
      <c r="P33" s="1" t="s">
        <v>123</v>
      </c>
      <c r="Q33" s="4">
        <v>86.304000000000002</v>
      </c>
      <c r="R33" s="1">
        <v>6</v>
      </c>
      <c r="S33" s="5">
        <v>0.2</v>
      </c>
      <c r="T33" s="4">
        <v>9.7091999999999992</v>
      </c>
      <c r="U33" s="6" t="str">
        <f t="shared" si="1"/>
        <v>Profit</v>
      </c>
      <c r="V33" s="6" t="str">
        <f t="shared" si="2"/>
        <v>Low Sales</v>
      </c>
    </row>
    <row r="34" spans="1:22" x14ac:dyDescent="0.3">
      <c r="A34" s="1">
        <v>33</v>
      </c>
      <c r="B34" s="2">
        <v>41169</v>
      </c>
      <c r="C34" s="1">
        <v>2012</v>
      </c>
      <c r="D34" s="3" t="s">
        <v>109</v>
      </c>
      <c r="E34" s="2">
        <v>41173</v>
      </c>
      <c r="F34" s="1">
        <f t="shared" si="0"/>
        <v>4</v>
      </c>
      <c r="G34" s="1" t="s">
        <v>43</v>
      </c>
      <c r="H34" s="1" t="s">
        <v>117</v>
      </c>
      <c r="I34" s="1" t="s">
        <v>23</v>
      </c>
      <c r="J34" s="1" t="s">
        <v>24</v>
      </c>
      <c r="K34" s="1" t="s">
        <v>105</v>
      </c>
      <c r="L34" s="1" t="s">
        <v>106</v>
      </c>
      <c r="M34" s="1" t="s">
        <v>107</v>
      </c>
      <c r="N34" s="1" t="s">
        <v>39</v>
      </c>
      <c r="O34" s="1" t="s">
        <v>59</v>
      </c>
      <c r="P34" s="1" t="s">
        <v>124</v>
      </c>
      <c r="Q34" s="4">
        <v>6.8579999999999997</v>
      </c>
      <c r="R34" s="1">
        <v>6</v>
      </c>
      <c r="S34" s="5">
        <v>0.7</v>
      </c>
      <c r="T34" s="4">
        <v>-5.7149999999999999</v>
      </c>
      <c r="U34" s="6" t="str">
        <f t="shared" si="1"/>
        <v>Loss</v>
      </c>
      <c r="V34" s="6" t="str">
        <f t="shared" si="2"/>
        <v>Low Sales</v>
      </c>
    </row>
    <row r="35" spans="1:22" x14ac:dyDescent="0.3">
      <c r="A35" s="1">
        <v>34</v>
      </c>
      <c r="B35" s="2">
        <v>41169</v>
      </c>
      <c r="C35" s="1">
        <v>2012</v>
      </c>
      <c r="D35" s="3" t="s">
        <v>109</v>
      </c>
      <c r="E35" s="2">
        <v>41173</v>
      </c>
      <c r="F35" s="1">
        <f t="shared" si="0"/>
        <v>4</v>
      </c>
      <c r="G35" s="1" t="s">
        <v>43</v>
      </c>
      <c r="H35" s="1" t="s">
        <v>117</v>
      </c>
      <c r="I35" s="1" t="s">
        <v>23</v>
      </c>
      <c r="J35" s="1" t="s">
        <v>24</v>
      </c>
      <c r="K35" s="1" t="s">
        <v>105</v>
      </c>
      <c r="L35" s="1" t="s">
        <v>106</v>
      </c>
      <c r="M35" s="1" t="s">
        <v>107</v>
      </c>
      <c r="N35" s="1" t="s">
        <v>39</v>
      </c>
      <c r="O35" s="1" t="s">
        <v>54</v>
      </c>
      <c r="P35" s="1" t="s">
        <v>125</v>
      </c>
      <c r="Q35" s="4">
        <v>15.76</v>
      </c>
      <c r="R35" s="1">
        <v>2</v>
      </c>
      <c r="S35" s="5">
        <v>0.2</v>
      </c>
      <c r="T35" s="4">
        <v>3.5459999999999998</v>
      </c>
      <c r="U35" s="6" t="str">
        <f t="shared" si="1"/>
        <v>Profit</v>
      </c>
      <c r="V35" s="6" t="str">
        <f t="shared" si="2"/>
        <v>Low Sales</v>
      </c>
    </row>
    <row r="36" spans="1:22" x14ac:dyDescent="0.3">
      <c r="A36" s="1">
        <v>35</v>
      </c>
      <c r="B36" s="2">
        <v>41932</v>
      </c>
      <c r="C36" s="1">
        <v>2014</v>
      </c>
      <c r="D36" s="3" t="s">
        <v>42</v>
      </c>
      <c r="E36" s="2">
        <v>41936</v>
      </c>
      <c r="F36" s="1">
        <f t="shared" si="0"/>
        <v>4</v>
      </c>
      <c r="G36" s="1" t="s">
        <v>21</v>
      </c>
      <c r="H36" s="1" t="s">
        <v>126</v>
      </c>
      <c r="I36" s="1" t="s">
        <v>77</v>
      </c>
      <c r="J36" s="1" t="s">
        <v>24</v>
      </c>
      <c r="K36" s="1" t="s">
        <v>127</v>
      </c>
      <c r="L36" s="1" t="s">
        <v>79</v>
      </c>
      <c r="M36" s="1" t="s">
        <v>80</v>
      </c>
      <c r="N36" s="1" t="s">
        <v>39</v>
      </c>
      <c r="O36" s="1" t="s">
        <v>69</v>
      </c>
      <c r="P36" s="1" t="s">
        <v>128</v>
      </c>
      <c r="Q36" s="4">
        <v>29.472000000000001</v>
      </c>
      <c r="R36" s="1">
        <v>3</v>
      </c>
      <c r="S36" s="5">
        <v>0.2</v>
      </c>
      <c r="T36" s="4">
        <v>9.9467999999999996</v>
      </c>
      <c r="U36" s="6" t="str">
        <f t="shared" si="1"/>
        <v>Profit</v>
      </c>
      <c r="V36" s="6" t="str">
        <f t="shared" si="2"/>
        <v>Low Sales</v>
      </c>
    </row>
    <row r="37" spans="1:22" x14ac:dyDescent="0.3">
      <c r="A37" s="1">
        <v>36</v>
      </c>
      <c r="B37" s="2">
        <v>41617</v>
      </c>
      <c r="C37" s="1">
        <v>2013</v>
      </c>
      <c r="D37" s="3" t="s">
        <v>71</v>
      </c>
      <c r="E37" s="2">
        <v>41619</v>
      </c>
      <c r="F37" s="1">
        <f t="shared" si="0"/>
        <v>2</v>
      </c>
      <c r="G37" s="1" t="s">
        <v>129</v>
      </c>
      <c r="H37" s="1" t="s">
        <v>130</v>
      </c>
      <c r="I37" s="1" t="s">
        <v>35</v>
      </c>
      <c r="J37" s="1" t="s">
        <v>24</v>
      </c>
      <c r="K37" s="1" t="s">
        <v>131</v>
      </c>
      <c r="L37" s="1" t="s">
        <v>79</v>
      </c>
      <c r="M37" s="1" t="s">
        <v>80</v>
      </c>
      <c r="N37" s="1" t="s">
        <v>56</v>
      </c>
      <c r="O37" s="1" t="s">
        <v>57</v>
      </c>
      <c r="P37" s="1" t="s">
        <v>132</v>
      </c>
      <c r="Q37" s="4">
        <v>1097.5440000000001</v>
      </c>
      <c r="R37" s="1">
        <v>7</v>
      </c>
      <c r="S37" s="5">
        <v>0.2</v>
      </c>
      <c r="T37" s="4">
        <v>123.47369999999999</v>
      </c>
      <c r="U37" s="6" t="str">
        <f t="shared" si="1"/>
        <v>Profit</v>
      </c>
      <c r="V37" s="6" t="str">
        <f t="shared" si="2"/>
        <v>High Sales</v>
      </c>
    </row>
    <row r="38" spans="1:22" x14ac:dyDescent="0.3">
      <c r="A38" s="1">
        <v>37</v>
      </c>
      <c r="B38" s="2">
        <v>41617</v>
      </c>
      <c r="C38" s="1">
        <v>2013</v>
      </c>
      <c r="D38" s="3" t="s">
        <v>71</v>
      </c>
      <c r="E38" s="2">
        <v>41619</v>
      </c>
      <c r="F38" s="1">
        <f t="shared" si="0"/>
        <v>2</v>
      </c>
      <c r="G38" s="1" t="s">
        <v>129</v>
      </c>
      <c r="H38" s="1" t="s">
        <v>130</v>
      </c>
      <c r="I38" s="1" t="s">
        <v>35</v>
      </c>
      <c r="J38" s="1" t="s">
        <v>24</v>
      </c>
      <c r="K38" s="1" t="s">
        <v>131</v>
      </c>
      <c r="L38" s="1" t="s">
        <v>79</v>
      </c>
      <c r="M38" s="1" t="s">
        <v>80</v>
      </c>
      <c r="N38" s="1" t="s">
        <v>28</v>
      </c>
      <c r="O38" s="1" t="s">
        <v>52</v>
      </c>
      <c r="P38" s="1" t="s">
        <v>133</v>
      </c>
      <c r="Q38" s="4">
        <v>190.92</v>
      </c>
      <c r="R38" s="1">
        <v>5</v>
      </c>
      <c r="S38" s="5">
        <v>0.6</v>
      </c>
      <c r="T38" s="4">
        <v>-147.96299999999999</v>
      </c>
      <c r="U38" s="6" t="str">
        <f t="shared" si="1"/>
        <v>Loss</v>
      </c>
      <c r="V38" s="6" t="str">
        <f t="shared" si="2"/>
        <v>Low Sales</v>
      </c>
    </row>
    <row r="39" spans="1:22" x14ac:dyDescent="0.3">
      <c r="A39" s="1">
        <v>38</v>
      </c>
      <c r="B39" s="2">
        <v>41270</v>
      </c>
      <c r="C39" s="1">
        <v>2012</v>
      </c>
      <c r="D39" s="3" t="s">
        <v>71</v>
      </c>
      <c r="E39" s="2">
        <v>41274</v>
      </c>
      <c r="F39" s="1">
        <f t="shared" si="0"/>
        <v>4</v>
      </c>
      <c r="G39" s="1" t="s">
        <v>43</v>
      </c>
      <c r="H39" s="1" t="s">
        <v>134</v>
      </c>
      <c r="I39" s="1" t="s">
        <v>77</v>
      </c>
      <c r="J39" s="1" t="s">
        <v>24</v>
      </c>
      <c r="K39" s="1" t="s">
        <v>127</v>
      </c>
      <c r="L39" s="1" t="s">
        <v>79</v>
      </c>
      <c r="M39" s="1" t="s">
        <v>80</v>
      </c>
      <c r="N39" s="1" t="s">
        <v>39</v>
      </c>
      <c r="O39" s="1" t="s">
        <v>121</v>
      </c>
      <c r="P39" s="1" t="s">
        <v>135</v>
      </c>
      <c r="Q39" s="4">
        <v>113.328</v>
      </c>
      <c r="R39" s="1">
        <v>9</v>
      </c>
      <c r="S39" s="5">
        <v>0.2</v>
      </c>
      <c r="T39" s="4">
        <v>35.414999999999999</v>
      </c>
      <c r="U39" s="6" t="str">
        <f t="shared" si="1"/>
        <v>Profit</v>
      </c>
      <c r="V39" s="6" t="str">
        <f t="shared" si="2"/>
        <v>Low Sales</v>
      </c>
    </row>
    <row r="40" spans="1:22" x14ac:dyDescent="0.3">
      <c r="A40" s="1">
        <v>39</v>
      </c>
      <c r="B40" s="2">
        <v>41270</v>
      </c>
      <c r="C40" s="1">
        <v>2012</v>
      </c>
      <c r="D40" s="3" t="s">
        <v>71</v>
      </c>
      <c r="E40" s="2">
        <v>41274</v>
      </c>
      <c r="F40" s="1">
        <f t="shared" si="0"/>
        <v>4</v>
      </c>
      <c r="G40" s="1" t="s">
        <v>43</v>
      </c>
      <c r="H40" s="1" t="s">
        <v>134</v>
      </c>
      <c r="I40" s="1" t="s">
        <v>77</v>
      </c>
      <c r="J40" s="1" t="s">
        <v>24</v>
      </c>
      <c r="K40" s="1" t="s">
        <v>127</v>
      </c>
      <c r="L40" s="1" t="s">
        <v>79</v>
      </c>
      <c r="M40" s="1" t="s">
        <v>80</v>
      </c>
      <c r="N40" s="1" t="s">
        <v>28</v>
      </c>
      <c r="O40" s="1" t="s">
        <v>29</v>
      </c>
      <c r="P40" s="1" t="s">
        <v>136</v>
      </c>
      <c r="Q40" s="4">
        <v>532.39919999999995</v>
      </c>
      <c r="R40" s="1">
        <v>3</v>
      </c>
      <c r="S40" s="5">
        <v>0.32</v>
      </c>
      <c r="T40" s="4">
        <v>-46.976399999999998</v>
      </c>
      <c r="U40" s="6" t="str">
        <f t="shared" si="1"/>
        <v>Loss</v>
      </c>
      <c r="V40" s="6" t="str">
        <f t="shared" si="2"/>
        <v>Medium Sales</v>
      </c>
    </row>
    <row r="41" spans="1:22" x14ac:dyDescent="0.3">
      <c r="A41" s="1">
        <v>40</v>
      </c>
      <c r="B41" s="2">
        <v>41270</v>
      </c>
      <c r="C41" s="1">
        <v>2012</v>
      </c>
      <c r="D41" s="3" t="s">
        <v>71</v>
      </c>
      <c r="E41" s="2">
        <v>41274</v>
      </c>
      <c r="F41" s="1">
        <f t="shared" si="0"/>
        <v>4</v>
      </c>
      <c r="G41" s="1" t="s">
        <v>43</v>
      </c>
      <c r="H41" s="1" t="s">
        <v>134</v>
      </c>
      <c r="I41" s="1" t="s">
        <v>77</v>
      </c>
      <c r="J41" s="1" t="s">
        <v>24</v>
      </c>
      <c r="K41" s="1" t="s">
        <v>127</v>
      </c>
      <c r="L41" s="1" t="s">
        <v>79</v>
      </c>
      <c r="M41" s="1" t="s">
        <v>80</v>
      </c>
      <c r="N41" s="1" t="s">
        <v>28</v>
      </c>
      <c r="O41" s="1" t="s">
        <v>31</v>
      </c>
      <c r="P41" s="1" t="s">
        <v>137</v>
      </c>
      <c r="Q41" s="4">
        <v>212.05799999999999</v>
      </c>
      <c r="R41" s="1">
        <v>3</v>
      </c>
      <c r="S41" s="5">
        <v>0.3</v>
      </c>
      <c r="T41" s="4">
        <v>-15.147</v>
      </c>
      <c r="U41" s="6" t="str">
        <f t="shared" si="1"/>
        <v>Loss</v>
      </c>
      <c r="V41" s="6" t="str">
        <f t="shared" si="2"/>
        <v>Low Sales</v>
      </c>
    </row>
    <row r="42" spans="1:22" x14ac:dyDescent="0.3">
      <c r="A42" s="1">
        <v>41</v>
      </c>
      <c r="B42" s="2">
        <v>41270</v>
      </c>
      <c r="C42" s="1">
        <v>2012</v>
      </c>
      <c r="D42" s="3" t="s">
        <v>71</v>
      </c>
      <c r="E42" s="2">
        <v>41274</v>
      </c>
      <c r="F42" s="1">
        <f t="shared" si="0"/>
        <v>4</v>
      </c>
      <c r="G42" s="1" t="s">
        <v>43</v>
      </c>
      <c r="H42" s="1" t="s">
        <v>134</v>
      </c>
      <c r="I42" s="1" t="s">
        <v>77</v>
      </c>
      <c r="J42" s="1" t="s">
        <v>24</v>
      </c>
      <c r="K42" s="1" t="s">
        <v>127</v>
      </c>
      <c r="L42" s="1" t="s">
        <v>79</v>
      </c>
      <c r="M42" s="1" t="s">
        <v>80</v>
      </c>
      <c r="N42" s="1" t="s">
        <v>56</v>
      </c>
      <c r="O42" s="1" t="s">
        <v>57</v>
      </c>
      <c r="P42" s="1" t="s">
        <v>138</v>
      </c>
      <c r="Q42" s="4">
        <v>371.16800000000001</v>
      </c>
      <c r="R42" s="1">
        <v>4</v>
      </c>
      <c r="S42" s="5">
        <v>0.2</v>
      </c>
      <c r="T42" s="4">
        <v>41.756399999999999</v>
      </c>
      <c r="U42" s="6" t="str">
        <f t="shared" si="1"/>
        <v>Profit</v>
      </c>
      <c r="V42" s="6" t="str">
        <f t="shared" si="2"/>
        <v>Low Sales</v>
      </c>
    </row>
    <row r="43" spans="1:22" x14ac:dyDescent="0.3">
      <c r="A43" s="1">
        <v>42</v>
      </c>
      <c r="B43" s="2">
        <v>41893</v>
      </c>
      <c r="C43" s="1">
        <v>2014</v>
      </c>
      <c r="D43" s="3" t="s">
        <v>109</v>
      </c>
      <c r="E43" s="2">
        <v>41898</v>
      </c>
      <c r="F43" s="1">
        <f t="shared" si="0"/>
        <v>5</v>
      </c>
      <c r="G43" s="1" t="s">
        <v>43</v>
      </c>
      <c r="H43" s="1" t="s">
        <v>139</v>
      </c>
      <c r="I43" s="1" t="s">
        <v>35</v>
      </c>
      <c r="J43" s="1" t="s">
        <v>24</v>
      </c>
      <c r="K43" s="1" t="s">
        <v>140</v>
      </c>
      <c r="L43" s="1" t="s">
        <v>141</v>
      </c>
      <c r="M43" s="1" t="s">
        <v>80</v>
      </c>
      <c r="N43" s="1" t="s">
        <v>56</v>
      </c>
      <c r="O43" s="1" t="s">
        <v>57</v>
      </c>
      <c r="P43" s="1" t="s">
        <v>142</v>
      </c>
      <c r="Q43" s="4">
        <v>147.16800000000001</v>
      </c>
      <c r="R43" s="1">
        <v>4</v>
      </c>
      <c r="S43" s="5">
        <v>0.2</v>
      </c>
      <c r="T43" s="4">
        <v>16.5564</v>
      </c>
      <c r="U43" s="6" t="str">
        <f t="shared" si="1"/>
        <v>Profit</v>
      </c>
      <c r="V43" s="6" t="str">
        <f t="shared" si="2"/>
        <v>Low Sales</v>
      </c>
    </row>
    <row r="44" spans="1:22" x14ac:dyDescent="0.3">
      <c r="A44" s="1">
        <v>43</v>
      </c>
      <c r="B44" s="2">
        <v>41473</v>
      </c>
      <c r="C44" s="1">
        <v>2013</v>
      </c>
      <c r="D44" s="3" t="s">
        <v>103</v>
      </c>
      <c r="E44" s="2">
        <v>41478</v>
      </c>
      <c r="F44" s="1">
        <f t="shared" si="0"/>
        <v>5</v>
      </c>
      <c r="G44" s="1" t="s">
        <v>43</v>
      </c>
      <c r="H44" s="1" t="s">
        <v>143</v>
      </c>
      <c r="I44" s="1" t="s">
        <v>35</v>
      </c>
      <c r="J44" s="1" t="s">
        <v>24</v>
      </c>
      <c r="K44" s="1" t="s">
        <v>36</v>
      </c>
      <c r="L44" s="1" t="s">
        <v>37</v>
      </c>
      <c r="M44" s="1" t="s">
        <v>38</v>
      </c>
      <c r="N44" s="1" t="s">
        <v>39</v>
      </c>
      <c r="O44" s="1" t="s">
        <v>49</v>
      </c>
      <c r="P44" s="1" t="s">
        <v>144</v>
      </c>
      <c r="Q44" s="4">
        <v>77.88</v>
      </c>
      <c r="R44" s="1">
        <v>2</v>
      </c>
      <c r="S44" s="5">
        <v>0</v>
      </c>
      <c r="T44" s="4">
        <v>3.8940000000000001</v>
      </c>
      <c r="U44" s="6" t="str">
        <f t="shared" si="1"/>
        <v>Profit</v>
      </c>
      <c r="V44" s="6" t="str">
        <f t="shared" si="2"/>
        <v>Low Sales</v>
      </c>
    </row>
    <row r="45" spans="1:22" x14ac:dyDescent="0.3">
      <c r="A45" s="1">
        <v>44</v>
      </c>
      <c r="B45" s="2">
        <v>41902</v>
      </c>
      <c r="C45" s="1">
        <v>2014</v>
      </c>
      <c r="D45" s="3" t="s">
        <v>109</v>
      </c>
      <c r="E45" s="2">
        <v>41906</v>
      </c>
      <c r="F45" s="1">
        <f t="shared" si="0"/>
        <v>4</v>
      </c>
      <c r="G45" s="1" t="s">
        <v>43</v>
      </c>
      <c r="H45" s="1" t="s">
        <v>145</v>
      </c>
      <c r="I45" s="1" t="s">
        <v>35</v>
      </c>
      <c r="J45" s="1" t="s">
        <v>24</v>
      </c>
      <c r="K45" s="1" t="s">
        <v>146</v>
      </c>
      <c r="L45" s="1" t="s">
        <v>46</v>
      </c>
      <c r="M45" s="1" t="s">
        <v>27</v>
      </c>
      <c r="N45" s="1" t="s">
        <v>39</v>
      </c>
      <c r="O45" s="1" t="s">
        <v>49</v>
      </c>
      <c r="P45" s="1" t="s">
        <v>147</v>
      </c>
      <c r="Q45" s="4">
        <v>95.616</v>
      </c>
      <c r="R45" s="1">
        <v>2</v>
      </c>
      <c r="S45" s="5">
        <v>0.2</v>
      </c>
      <c r="T45" s="4">
        <v>9.5616000000000003</v>
      </c>
      <c r="U45" s="6" t="str">
        <f t="shared" si="1"/>
        <v>Profit</v>
      </c>
      <c r="V45" s="6" t="str">
        <f t="shared" si="2"/>
        <v>Low Sales</v>
      </c>
    </row>
    <row r="46" spans="1:22" x14ac:dyDescent="0.3">
      <c r="A46" s="1">
        <v>45</v>
      </c>
      <c r="B46" s="2">
        <v>41345</v>
      </c>
      <c r="C46" s="1">
        <v>2013</v>
      </c>
      <c r="D46" s="3" t="s">
        <v>148</v>
      </c>
      <c r="E46" s="2">
        <v>41347</v>
      </c>
      <c r="F46" s="1">
        <f t="shared" si="0"/>
        <v>2</v>
      </c>
      <c r="G46" s="1" t="s">
        <v>129</v>
      </c>
      <c r="H46" s="1" t="s">
        <v>149</v>
      </c>
      <c r="I46" s="1" t="s">
        <v>35</v>
      </c>
      <c r="J46" s="1" t="s">
        <v>24</v>
      </c>
      <c r="K46" s="1" t="s">
        <v>150</v>
      </c>
      <c r="L46" s="1" t="s">
        <v>151</v>
      </c>
      <c r="M46" s="1" t="s">
        <v>80</v>
      </c>
      <c r="N46" s="1" t="s">
        <v>56</v>
      </c>
      <c r="O46" s="1" t="s">
        <v>115</v>
      </c>
      <c r="P46" s="1" t="s">
        <v>152</v>
      </c>
      <c r="Q46" s="4">
        <v>45.98</v>
      </c>
      <c r="R46" s="1">
        <v>2</v>
      </c>
      <c r="S46" s="5">
        <v>0</v>
      </c>
      <c r="T46" s="4">
        <v>19.7714</v>
      </c>
      <c r="U46" s="6" t="str">
        <f t="shared" si="1"/>
        <v>Profit</v>
      </c>
      <c r="V46" s="6" t="str">
        <f t="shared" si="2"/>
        <v>Low Sales</v>
      </c>
    </row>
    <row r="47" spans="1:22" x14ac:dyDescent="0.3">
      <c r="A47" s="1">
        <v>46</v>
      </c>
      <c r="B47" s="2">
        <v>41345</v>
      </c>
      <c r="C47" s="1">
        <v>2013</v>
      </c>
      <c r="D47" s="3" t="s">
        <v>148</v>
      </c>
      <c r="E47" s="2">
        <v>41347</v>
      </c>
      <c r="F47" s="1">
        <f t="shared" si="0"/>
        <v>2</v>
      </c>
      <c r="G47" s="1" t="s">
        <v>129</v>
      </c>
      <c r="H47" s="1" t="s">
        <v>149</v>
      </c>
      <c r="I47" s="1" t="s">
        <v>35</v>
      </c>
      <c r="J47" s="1" t="s">
        <v>24</v>
      </c>
      <c r="K47" s="1" t="s">
        <v>150</v>
      </c>
      <c r="L47" s="1" t="s">
        <v>151</v>
      </c>
      <c r="M47" s="1" t="s">
        <v>80</v>
      </c>
      <c r="N47" s="1" t="s">
        <v>39</v>
      </c>
      <c r="O47" s="1" t="s">
        <v>59</v>
      </c>
      <c r="P47" s="1" t="s">
        <v>153</v>
      </c>
      <c r="Q47" s="4">
        <v>17.46</v>
      </c>
      <c r="R47" s="1">
        <v>2</v>
      </c>
      <c r="S47" s="5">
        <v>0</v>
      </c>
      <c r="T47" s="4">
        <v>8.2062000000000008</v>
      </c>
      <c r="U47" s="6" t="str">
        <f t="shared" si="1"/>
        <v>Profit</v>
      </c>
      <c r="V47" s="6" t="str">
        <f t="shared" si="2"/>
        <v>Low Sales</v>
      </c>
    </row>
    <row r="48" spans="1:22" x14ac:dyDescent="0.3">
      <c r="A48" s="1">
        <v>47</v>
      </c>
      <c r="B48" s="2">
        <v>40836</v>
      </c>
      <c r="C48" s="1">
        <v>2011</v>
      </c>
      <c r="D48" s="3" t="s">
        <v>42</v>
      </c>
      <c r="E48" s="2">
        <v>40841</v>
      </c>
      <c r="F48" s="1">
        <f t="shared" si="0"/>
        <v>5</v>
      </c>
      <c r="G48" s="1" t="s">
        <v>21</v>
      </c>
      <c r="H48" s="1" t="s">
        <v>154</v>
      </c>
      <c r="I48" s="1" t="s">
        <v>23</v>
      </c>
      <c r="J48" s="1" t="s">
        <v>24</v>
      </c>
      <c r="K48" s="1" t="s">
        <v>155</v>
      </c>
      <c r="L48" s="1" t="s">
        <v>156</v>
      </c>
      <c r="M48" s="1" t="s">
        <v>80</v>
      </c>
      <c r="N48" s="1" t="s">
        <v>39</v>
      </c>
      <c r="O48" s="1" t="s">
        <v>49</v>
      </c>
      <c r="P48" s="1" t="s">
        <v>157</v>
      </c>
      <c r="Q48" s="4">
        <v>211.96</v>
      </c>
      <c r="R48" s="1">
        <v>4</v>
      </c>
      <c r="S48" s="5">
        <v>0</v>
      </c>
      <c r="T48" s="4">
        <v>8.4784000000000006</v>
      </c>
      <c r="U48" s="6" t="str">
        <f t="shared" si="1"/>
        <v>Profit</v>
      </c>
      <c r="V48" s="6" t="str">
        <f t="shared" si="2"/>
        <v>Low Sales</v>
      </c>
    </row>
    <row r="49" spans="1:22" x14ac:dyDescent="0.3">
      <c r="A49" s="1">
        <v>48</v>
      </c>
      <c r="B49" s="2">
        <v>41446</v>
      </c>
      <c r="C49" s="1">
        <v>2013</v>
      </c>
      <c r="D49" s="3" t="s">
        <v>33</v>
      </c>
      <c r="E49" s="2">
        <v>41451</v>
      </c>
      <c r="F49" s="1">
        <f t="shared" si="0"/>
        <v>5</v>
      </c>
      <c r="G49" s="1" t="s">
        <v>43</v>
      </c>
      <c r="H49" s="1" t="s">
        <v>158</v>
      </c>
      <c r="I49" s="1" t="s">
        <v>23</v>
      </c>
      <c r="J49" s="1" t="s">
        <v>24</v>
      </c>
      <c r="K49" s="1" t="s">
        <v>159</v>
      </c>
      <c r="L49" s="1" t="s">
        <v>160</v>
      </c>
      <c r="M49" s="1" t="s">
        <v>107</v>
      </c>
      <c r="N49" s="1" t="s">
        <v>56</v>
      </c>
      <c r="O49" s="1" t="s">
        <v>115</v>
      </c>
      <c r="P49" s="1" t="s">
        <v>161</v>
      </c>
      <c r="Q49" s="4">
        <v>45</v>
      </c>
      <c r="R49" s="1">
        <v>3</v>
      </c>
      <c r="S49" s="5">
        <v>0</v>
      </c>
      <c r="T49" s="4">
        <v>4.95</v>
      </c>
      <c r="U49" s="6" t="str">
        <f t="shared" si="1"/>
        <v>Profit</v>
      </c>
      <c r="V49" s="6" t="str">
        <f t="shared" si="2"/>
        <v>Low Sales</v>
      </c>
    </row>
    <row r="50" spans="1:22" x14ac:dyDescent="0.3">
      <c r="A50" s="1">
        <v>49</v>
      </c>
      <c r="B50" s="2">
        <v>41446</v>
      </c>
      <c r="C50" s="1">
        <v>2013</v>
      </c>
      <c r="D50" s="3" t="s">
        <v>33</v>
      </c>
      <c r="E50" s="2">
        <v>41451</v>
      </c>
      <c r="F50" s="1">
        <f t="shared" si="0"/>
        <v>5</v>
      </c>
      <c r="G50" s="1" t="s">
        <v>43</v>
      </c>
      <c r="H50" s="1" t="s">
        <v>158</v>
      </c>
      <c r="I50" s="1" t="s">
        <v>23</v>
      </c>
      <c r="J50" s="1" t="s">
        <v>24</v>
      </c>
      <c r="K50" s="1" t="s">
        <v>159</v>
      </c>
      <c r="L50" s="1" t="s">
        <v>160</v>
      </c>
      <c r="M50" s="1" t="s">
        <v>107</v>
      </c>
      <c r="N50" s="1" t="s">
        <v>56</v>
      </c>
      <c r="O50" s="1" t="s">
        <v>57</v>
      </c>
      <c r="P50" s="1" t="s">
        <v>162</v>
      </c>
      <c r="Q50" s="4">
        <v>21.8</v>
      </c>
      <c r="R50" s="1">
        <v>2</v>
      </c>
      <c r="S50" s="5">
        <v>0</v>
      </c>
      <c r="T50" s="4">
        <v>6.1040000000000001</v>
      </c>
      <c r="U50" s="6" t="str">
        <f t="shared" si="1"/>
        <v>Profit</v>
      </c>
      <c r="V50" s="6" t="str">
        <f t="shared" si="2"/>
        <v>Low Sales</v>
      </c>
    </row>
    <row r="51" spans="1:22" x14ac:dyDescent="0.3">
      <c r="A51" s="1">
        <v>50</v>
      </c>
      <c r="B51" s="2">
        <v>41017</v>
      </c>
      <c r="C51" s="1">
        <v>2012</v>
      </c>
      <c r="D51" s="3" t="s">
        <v>65</v>
      </c>
      <c r="E51" s="2">
        <v>41021</v>
      </c>
      <c r="F51" s="1">
        <f t="shared" si="0"/>
        <v>4</v>
      </c>
      <c r="G51" s="1" t="s">
        <v>43</v>
      </c>
      <c r="H51" s="1" t="s">
        <v>163</v>
      </c>
      <c r="I51" s="1" t="s">
        <v>23</v>
      </c>
      <c r="J51" s="1" t="s">
        <v>24</v>
      </c>
      <c r="K51" s="1" t="s">
        <v>164</v>
      </c>
      <c r="L51" s="1" t="s">
        <v>165</v>
      </c>
      <c r="M51" s="1" t="s">
        <v>80</v>
      </c>
      <c r="N51" s="1" t="s">
        <v>39</v>
      </c>
      <c r="O51" s="1" t="s">
        <v>59</v>
      </c>
      <c r="P51" s="1" t="s">
        <v>166</v>
      </c>
      <c r="Q51" s="4">
        <v>38.22</v>
      </c>
      <c r="R51" s="1">
        <v>6</v>
      </c>
      <c r="S51" s="5">
        <v>0</v>
      </c>
      <c r="T51" s="4">
        <v>17.9634</v>
      </c>
      <c r="U51" s="6" t="str">
        <f t="shared" si="1"/>
        <v>Profit</v>
      </c>
      <c r="V51" s="6" t="str">
        <f t="shared" si="2"/>
        <v>Low Sales</v>
      </c>
    </row>
    <row r="52" spans="1:22" x14ac:dyDescent="0.3">
      <c r="A52" s="1">
        <v>51</v>
      </c>
      <c r="B52" s="2">
        <v>41017</v>
      </c>
      <c r="C52" s="1">
        <v>2012</v>
      </c>
      <c r="D52" s="3" t="s">
        <v>65</v>
      </c>
      <c r="E52" s="2">
        <v>41021</v>
      </c>
      <c r="F52" s="1">
        <f t="shared" si="0"/>
        <v>4</v>
      </c>
      <c r="G52" s="1" t="s">
        <v>43</v>
      </c>
      <c r="H52" s="1" t="s">
        <v>163</v>
      </c>
      <c r="I52" s="1" t="s">
        <v>23</v>
      </c>
      <c r="J52" s="1" t="s">
        <v>24</v>
      </c>
      <c r="K52" s="1" t="s">
        <v>164</v>
      </c>
      <c r="L52" s="1" t="s">
        <v>165</v>
      </c>
      <c r="M52" s="1" t="s">
        <v>80</v>
      </c>
      <c r="N52" s="1" t="s">
        <v>39</v>
      </c>
      <c r="O52" s="1" t="s">
        <v>40</v>
      </c>
      <c r="P52" s="1" t="s">
        <v>167</v>
      </c>
      <c r="Q52" s="4">
        <v>75.180000000000007</v>
      </c>
      <c r="R52" s="1">
        <v>6</v>
      </c>
      <c r="S52" s="5">
        <v>0</v>
      </c>
      <c r="T52" s="4">
        <v>35.334600000000002</v>
      </c>
      <c r="U52" s="6" t="str">
        <f t="shared" si="1"/>
        <v>Profit</v>
      </c>
      <c r="V52" s="6" t="str">
        <f t="shared" si="2"/>
        <v>Low Sales</v>
      </c>
    </row>
    <row r="53" spans="1:22" x14ac:dyDescent="0.3">
      <c r="A53" s="1">
        <v>52</v>
      </c>
      <c r="B53" s="2">
        <v>41017</v>
      </c>
      <c r="C53" s="1">
        <v>2012</v>
      </c>
      <c r="D53" s="3" t="s">
        <v>65</v>
      </c>
      <c r="E53" s="2">
        <v>41021</v>
      </c>
      <c r="F53" s="1">
        <f t="shared" si="0"/>
        <v>4</v>
      </c>
      <c r="G53" s="1" t="s">
        <v>43</v>
      </c>
      <c r="H53" s="1" t="s">
        <v>163</v>
      </c>
      <c r="I53" s="1" t="s">
        <v>23</v>
      </c>
      <c r="J53" s="1" t="s">
        <v>24</v>
      </c>
      <c r="K53" s="1" t="s">
        <v>164</v>
      </c>
      <c r="L53" s="1" t="s">
        <v>165</v>
      </c>
      <c r="M53" s="1" t="s">
        <v>80</v>
      </c>
      <c r="N53" s="1" t="s">
        <v>28</v>
      </c>
      <c r="O53" s="1" t="s">
        <v>52</v>
      </c>
      <c r="P53" s="1" t="s">
        <v>168</v>
      </c>
      <c r="Q53" s="4">
        <v>6.16</v>
      </c>
      <c r="R53" s="1">
        <v>2</v>
      </c>
      <c r="S53" s="5">
        <v>0</v>
      </c>
      <c r="T53" s="4">
        <v>2.9567999999999999</v>
      </c>
      <c r="U53" s="6" t="str">
        <f t="shared" si="1"/>
        <v>Profit</v>
      </c>
      <c r="V53" s="6" t="str">
        <f t="shared" si="2"/>
        <v>Low Sales</v>
      </c>
    </row>
    <row r="54" spans="1:22" x14ac:dyDescent="0.3">
      <c r="A54" s="1">
        <v>53</v>
      </c>
      <c r="B54" s="2">
        <v>41017</v>
      </c>
      <c r="C54" s="1">
        <v>2012</v>
      </c>
      <c r="D54" s="3" t="s">
        <v>65</v>
      </c>
      <c r="E54" s="2">
        <v>41021</v>
      </c>
      <c r="F54" s="1">
        <f t="shared" si="0"/>
        <v>4</v>
      </c>
      <c r="G54" s="1" t="s">
        <v>43</v>
      </c>
      <c r="H54" s="1" t="s">
        <v>163</v>
      </c>
      <c r="I54" s="1" t="s">
        <v>23</v>
      </c>
      <c r="J54" s="1" t="s">
        <v>24</v>
      </c>
      <c r="K54" s="1" t="s">
        <v>164</v>
      </c>
      <c r="L54" s="1" t="s">
        <v>165</v>
      </c>
      <c r="M54" s="1" t="s">
        <v>80</v>
      </c>
      <c r="N54" s="1" t="s">
        <v>28</v>
      </c>
      <c r="O54" s="1" t="s">
        <v>31</v>
      </c>
      <c r="P54" s="1" t="s">
        <v>169</v>
      </c>
      <c r="Q54" s="4">
        <v>89.99</v>
      </c>
      <c r="R54" s="1">
        <v>1</v>
      </c>
      <c r="S54" s="5">
        <v>0</v>
      </c>
      <c r="T54" s="4">
        <v>17.098099999999999</v>
      </c>
      <c r="U54" s="6" t="str">
        <f t="shared" si="1"/>
        <v>Profit</v>
      </c>
      <c r="V54" s="6" t="str">
        <f t="shared" si="2"/>
        <v>Low Sales</v>
      </c>
    </row>
    <row r="55" spans="1:22" x14ac:dyDescent="0.3">
      <c r="A55" s="1">
        <v>54</v>
      </c>
      <c r="B55" s="2">
        <v>41620</v>
      </c>
      <c r="C55" s="1">
        <v>2013</v>
      </c>
      <c r="D55" s="3" t="s">
        <v>71</v>
      </c>
      <c r="E55" s="2">
        <v>41626</v>
      </c>
      <c r="F55" s="1">
        <f t="shared" si="0"/>
        <v>6</v>
      </c>
      <c r="G55" s="1" t="s">
        <v>43</v>
      </c>
      <c r="H55" s="1" t="s">
        <v>170</v>
      </c>
      <c r="I55" s="1" t="s">
        <v>35</v>
      </c>
      <c r="J55" s="1" t="s">
        <v>24</v>
      </c>
      <c r="K55" s="1" t="s">
        <v>171</v>
      </c>
      <c r="L55" s="1" t="s">
        <v>172</v>
      </c>
      <c r="M55" s="1" t="s">
        <v>107</v>
      </c>
      <c r="N55" s="1" t="s">
        <v>39</v>
      </c>
      <c r="O55" s="1" t="s">
        <v>173</v>
      </c>
      <c r="P55" s="1" t="s">
        <v>174</v>
      </c>
      <c r="Q55" s="4">
        <v>15.26</v>
      </c>
      <c r="R55" s="1">
        <v>7</v>
      </c>
      <c r="S55" s="5">
        <v>0</v>
      </c>
      <c r="T55" s="4">
        <v>6.2565999999999997</v>
      </c>
      <c r="U55" s="6" t="str">
        <f t="shared" si="1"/>
        <v>Profit</v>
      </c>
      <c r="V55" s="6" t="str">
        <f t="shared" si="2"/>
        <v>Low Sales</v>
      </c>
    </row>
    <row r="56" spans="1:22" x14ac:dyDescent="0.3">
      <c r="A56" s="1">
        <v>55</v>
      </c>
      <c r="B56" s="2">
        <v>41620</v>
      </c>
      <c r="C56" s="1">
        <v>2013</v>
      </c>
      <c r="D56" s="3" t="s">
        <v>71</v>
      </c>
      <c r="E56" s="2">
        <v>41626</v>
      </c>
      <c r="F56" s="1">
        <f t="shared" si="0"/>
        <v>6</v>
      </c>
      <c r="G56" s="1" t="s">
        <v>43</v>
      </c>
      <c r="H56" s="1" t="s">
        <v>170</v>
      </c>
      <c r="I56" s="1" t="s">
        <v>35</v>
      </c>
      <c r="J56" s="1" t="s">
        <v>24</v>
      </c>
      <c r="K56" s="1" t="s">
        <v>171</v>
      </c>
      <c r="L56" s="1" t="s">
        <v>172</v>
      </c>
      <c r="M56" s="1" t="s">
        <v>107</v>
      </c>
      <c r="N56" s="1" t="s">
        <v>56</v>
      </c>
      <c r="O56" s="1" t="s">
        <v>57</v>
      </c>
      <c r="P56" s="1" t="s">
        <v>175</v>
      </c>
      <c r="Q56" s="4">
        <v>1029.95</v>
      </c>
      <c r="R56" s="1">
        <v>5</v>
      </c>
      <c r="S56" s="5">
        <v>0</v>
      </c>
      <c r="T56" s="4">
        <v>298.68549999999999</v>
      </c>
      <c r="U56" s="6" t="str">
        <f t="shared" si="1"/>
        <v>Profit</v>
      </c>
      <c r="V56" s="6" t="str">
        <f t="shared" si="2"/>
        <v>High Sales</v>
      </c>
    </row>
    <row r="57" spans="1:22" x14ac:dyDescent="0.3">
      <c r="A57" s="1">
        <v>56</v>
      </c>
      <c r="B57" s="2">
        <v>41443</v>
      </c>
      <c r="C57" s="1">
        <v>2013</v>
      </c>
      <c r="D57" s="3" t="s">
        <v>33</v>
      </c>
      <c r="E57" s="2">
        <v>41444</v>
      </c>
      <c r="F57" s="1">
        <f t="shared" si="0"/>
        <v>1</v>
      </c>
      <c r="G57" s="1" t="s">
        <v>129</v>
      </c>
      <c r="H57" s="1" t="s">
        <v>176</v>
      </c>
      <c r="I57" s="1" t="s">
        <v>23</v>
      </c>
      <c r="J57" s="1" t="s">
        <v>24</v>
      </c>
      <c r="K57" s="1" t="s">
        <v>177</v>
      </c>
      <c r="L57" s="1" t="s">
        <v>172</v>
      </c>
      <c r="M57" s="1" t="s">
        <v>107</v>
      </c>
      <c r="N57" s="1" t="s">
        <v>39</v>
      </c>
      <c r="O57" s="1" t="s">
        <v>49</v>
      </c>
      <c r="P57" s="1" t="s">
        <v>178</v>
      </c>
      <c r="Q57" s="4">
        <v>208.56</v>
      </c>
      <c r="R57" s="1">
        <v>6</v>
      </c>
      <c r="S57" s="5">
        <v>0</v>
      </c>
      <c r="T57" s="4">
        <v>52.14</v>
      </c>
      <c r="U57" s="6" t="str">
        <f t="shared" si="1"/>
        <v>Profit</v>
      </c>
      <c r="V57" s="6" t="str">
        <f t="shared" si="2"/>
        <v>Low Sales</v>
      </c>
    </row>
    <row r="58" spans="1:22" x14ac:dyDescent="0.3">
      <c r="A58" s="1">
        <v>57</v>
      </c>
      <c r="B58" s="2">
        <v>41443</v>
      </c>
      <c r="C58" s="1">
        <v>2013</v>
      </c>
      <c r="D58" s="3" t="s">
        <v>33</v>
      </c>
      <c r="E58" s="2">
        <v>41444</v>
      </c>
      <c r="F58" s="1">
        <f t="shared" si="0"/>
        <v>1</v>
      </c>
      <c r="G58" s="1" t="s">
        <v>129</v>
      </c>
      <c r="H58" s="1" t="s">
        <v>176</v>
      </c>
      <c r="I58" s="1" t="s">
        <v>23</v>
      </c>
      <c r="J58" s="1" t="s">
        <v>24</v>
      </c>
      <c r="K58" s="1" t="s">
        <v>177</v>
      </c>
      <c r="L58" s="1" t="s">
        <v>172</v>
      </c>
      <c r="M58" s="1" t="s">
        <v>107</v>
      </c>
      <c r="N58" s="1" t="s">
        <v>39</v>
      </c>
      <c r="O58" s="1" t="s">
        <v>69</v>
      </c>
      <c r="P58" s="1" t="s">
        <v>179</v>
      </c>
      <c r="Q58" s="4">
        <v>32.4</v>
      </c>
      <c r="R58" s="1">
        <v>5</v>
      </c>
      <c r="S58" s="5">
        <v>0</v>
      </c>
      <c r="T58" s="4">
        <v>15.552</v>
      </c>
      <c r="U58" s="6" t="str">
        <f t="shared" si="1"/>
        <v>Profit</v>
      </c>
      <c r="V58" s="6" t="str">
        <f t="shared" si="2"/>
        <v>Low Sales</v>
      </c>
    </row>
    <row r="59" spans="1:22" x14ac:dyDescent="0.3">
      <c r="A59" s="1">
        <v>58</v>
      </c>
      <c r="B59" s="2">
        <v>41443</v>
      </c>
      <c r="C59" s="1">
        <v>2013</v>
      </c>
      <c r="D59" s="3" t="s">
        <v>33</v>
      </c>
      <c r="E59" s="2">
        <v>41444</v>
      </c>
      <c r="F59" s="1">
        <f t="shared" si="0"/>
        <v>1</v>
      </c>
      <c r="G59" s="1" t="s">
        <v>129</v>
      </c>
      <c r="H59" s="1" t="s">
        <v>176</v>
      </c>
      <c r="I59" s="1" t="s">
        <v>23</v>
      </c>
      <c r="J59" s="1" t="s">
        <v>24</v>
      </c>
      <c r="K59" s="1" t="s">
        <v>177</v>
      </c>
      <c r="L59" s="1" t="s">
        <v>172</v>
      </c>
      <c r="M59" s="1" t="s">
        <v>107</v>
      </c>
      <c r="N59" s="1" t="s">
        <v>28</v>
      </c>
      <c r="O59" s="1" t="s">
        <v>31</v>
      </c>
      <c r="P59" s="1" t="s">
        <v>180</v>
      </c>
      <c r="Q59" s="4">
        <v>319.41000000000003</v>
      </c>
      <c r="R59" s="1">
        <v>5</v>
      </c>
      <c r="S59" s="5">
        <v>0.1</v>
      </c>
      <c r="T59" s="4">
        <v>7.0979999999999999</v>
      </c>
      <c r="U59" s="6" t="str">
        <f t="shared" si="1"/>
        <v>Profit</v>
      </c>
      <c r="V59" s="6" t="str">
        <f t="shared" si="2"/>
        <v>Low Sales</v>
      </c>
    </row>
    <row r="60" spans="1:22" x14ac:dyDescent="0.3">
      <c r="A60" s="1">
        <v>59</v>
      </c>
      <c r="B60" s="2">
        <v>41443</v>
      </c>
      <c r="C60" s="1">
        <v>2013</v>
      </c>
      <c r="D60" s="3" t="s">
        <v>33</v>
      </c>
      <c r="E60" s="2">
        <v>41444</v>
      </c>
      <c r="F60" s="1">
        <f t="shared" si="0"/>
        <v>1</v>
      </c>
      <c r="G60" s="1" t="s">
        <v>129</v>
      </c>
      <c r="H60" s="1" t="s">
        <v>176</v>
      </c>
      <c r="I60" s="1" t="s">
        <v>23</v>
      </c>
      <c r="J60" s="1" t="s">
        <v>24</v>
      </c>
      <c r="K60" s="1" t="s">
        <v>177</v>
      </c>
      <c r="L60" s="1" t="s">
        <v>172</v>
      </c>
      <c r="M60" s="1" t="s">
        <v>107</v>
      </c>
      <c r="N60" s="1" t="s">
        <v>39</v>
      </c>
      <c r="O60" s="1" t="s">
        <v>69</v>
      </c>
      <c r="P60" s="1" t="s">
        <v>181</v>
      </c>
      <c r="Q60" s="4">
        <v>14.56</v>
      </c>
      <c r="R60" s="1">
        <v>2</v>
      </c>
      <c r="S60" s="5">
        <v>0</v>
      </c>
      <c r="T60" s="4">
        <v>6.9888000000000003</v>
      </c>
      <c r="U60" s="6" t="str">
        <f t="shared" si="1"/>
        <v>Profit</v>
      </c>
      <c r="V60" s="6" t="str">
        <f t="shared" si="2"/>
        <v>Low Sales</v>
      </c>
    </row>
    <row r="61" spans="1:22" x14ac:dyDescent="0.3">
      <c r="A61" s="1">
        <v>60</v>
      </c>
      <c r="B61" s="2">
        <v>41443</v>
      </c>
      <c r="C61" s="1">
        <v>2013</v>
      </c>
      <c r="D61" s="3" t="s">
        <v>33</v>
      </c>
      <c r="E61" s="2">
        <v>41444</v>
      </c>
      <c r="F61" s="1">
        <f t="shared" si="0"/>
        <v>1</v>
      </c>
      <c r="G61" s="1" t="s">
        <v>129</v>
      </c>
      <c r="H61" s="1" t="s">
        <v>176</v>
      </c>
      <c r="I61" s="1" t="s">
        <v>23</v>
      </c>
      <c r="J61" s="1" t="s">
        <v>24</v>
      </c>
      <c r="K61" s="1" t="s">
        <v>177</v>
      </c>
      <c r="L61" s="1" t="s">
        <v>172</v>
      </c>
      <c r="M61" s="1" t="s">
        <v>107</v>
      </c>
      <c r="N61" s="1" t="s">
        <v>56</v>
      </c>
      <c r="O61" s="1" t="s">
        <v>115</v>
      </c>
      <c r="P61" s="1" t="s">
        <v>161</v>
      </c>
      <c r="Q61" s="4">
        <v>30</v>
      </c>
      <c r="R61" s="1">
        <v>2</v>
      </c>
      <c r="S61" s="5">
        <v>0</v>
      </c>
      <c r="T61" s="4">
        <v>3.3</v>
      </c>
      <c r="U61" s="6" t="str">
        <f t="shared" si="1"/>
        <v>Profit</v>
      </c>
      <c r="V61" s="6" t="str">
        <f t="shared" si="2"/>
        <v>Low Sales</v>
      </c>
    </row>
    <row r="62" spans="1:22" x14ac:dyDescent="0.3">
      <c r="A62" s="1">
        <v>61</v>
      </c>
      <c r="B62" s="2">
        <v>41443</v>
      </c>
      <c r="C62" s="1">
        <v>2013</v>
      </c>
      <c r="D62" s="3" t="s">
        <v>33</v>
      </c>
      <c r="E62" s="2">
        <v>41444</v>
      </c>
      <c r="F62" s="1">
        <f t="shared" si="0"/>
        <v>1</v>
      </c>
      <c r="G62" s="1" t="s">
        <v>129</v>
      </c>
      <c r="H62" s="1" t="s">
        <v>176</v>
      </c>
      <c r="I62" s="1" t="s">
        <v>23</v>
      </c>
      <c r="J62" s="1" t="s">
        <v>24</v>
      </c>
      <c r="K62" s="1" t="s">
        <v>177</v>
      </c>
      <c r="L62" s="1" t="s">
        <v>172</v>
      </c>
      <c r="M62" s="1" t="s">
        <v>107</v>
      </c>
      <c r="N62" s="1" t="s">
        <v>39</v>
      </c>
      <c r="O62" s="1" t="s">
        <v>59</v>
      </c>
      <c r="P62" s="1" t="s">
        <v>182</v>
      </c>
      <c r="Q62" s="4">
        <v>48.48</v>
      </c>
      <c r="R62" s="1">
        <v>4</v>
      </c>
      <c r="S62" s="5">
        <v>0.2</v>
      </c>
      <c r="T62" s="4">
        <v>16.361999999999998</v>
      </c>
      <c r="U62" s="6" t="str">
        <f t="shared" si="1"/>
        <v>Profit</v>
      </c>
      <c r="V62" s="6" t="str">
        <f t="shared" si="2"/>
        <v>Low Sales</v>
      </c>
    </row>
    <row r="63" spans="1:22" x14ac:dyDescent="0.3">
      <c r="A63" s="1">
        <v>62</v>
      </c>
      <c r="B63" s="2">
        <v>41443</v>
      </c>
      <c r="C63" s="1">
        <v>2013</v>
      </c>
      <c r="D63" s="3" t="s">
        <v>33</v>
      </c>
      <c r="E63" s="2">
        <v>41444</v>
      </c>
      <c r="F63" s="1">
        <f t="shared" si="0"/>
        <v>1</v>
      </c>
      <c r="G63" s="1" t="s">
        <v>129</v>
      </c>
      <c r="H63" s="1" t="s">
        <v>176</v>
      </c>
      <c r="I63" s="1" t="s">
        <v>23</v>
      </c>
      <c r="J63" s="1" t="s">
        <v>24</v>
      </c>
      <c r="K63" s="1" t="s">
        <v>177</v>
      </c>
      <c r="L63" s="1" t="s">
        <v>172</v>
      </c>
      <c r="M63" s="1" t="s">
        <v>107</v>
      </c>
      <c r="N63" s="1" t="s">
        <v>39</v>
      </c>
      <c r="O63" s="1" t="s">
        <v>54</v>
      </c>
      <c r="P63" s="1" t="s">
        <v>183</v>
      </c>
      <c r="Q63" s="4">
        <v>1.68</v>
      </c>
      <c r="R63" s="1">
        <v>1</v>
      </c>
      <c r="S63" s="5">
        <v>0</v>
      </c>
      <c r="T63" s="4">
        <v>0.84</v>
      </c>
      <c r="U63" s="6" t="str">
        <f t="shared" si="1"/>
        <v>Profit</v>
      </c>
      <c r="V63" s="6" t="str">
        <f t="shared" si="2"/>
        <v>Low Sales</v>
      </c>
    </row>
    <row r="64" spans="1:22" x14ac:dyDescent="0.3">
      <c r="A64" s="1">
        <v>63</v>
      </c>
      <c r="B64" s="2">
        <v>41237</v>
      </c>
      <c r="C64" s="1">
        <v>2012</v>
      </c>
      <c r="D64" s="3" t="s">
        <v>20</v>
      </c>
      <c r="E64" s="2">
        <v>41243</v>
      </c>
      <c r="F64" s="1">
        <f t="shared" si="0"/>
        <v>6</v>
      </c>
      <c r="G64" s="1" t="s">
        <v>43</v>
      </c>
      <c r="H64" s="1" t="s">
        <v>184</v>
      </c>
      <c r="I64" s="1" t="s">
        <v>23</v>
      </c>
      <c r="J64" s="1" t="s">
        <v>24</v>
      </c>
      <c r="K64" s="1" t="s">
        <v>36</v>
      </c>
      <c r="L64" s="1" t="s">
        <v>37</v>
      </c>
      <c r="M64" s="1" t="s">
        <v>38</v>
      </c>
      <c r="N64" s="1" t="s">
        <v>56</v>
      </c>
      <c r="O64" s="1" t="s">
        <v>115</v>
      </c>
      <c r="P64" s="1" t="s">
        <v>185</v>
      </c>
      <c r="Q64" s="4">
        <v>13.98</v>
      </c>
      <c r="R64" s="1">
        <v>2</v>
      </c>
      <c r="S64" s="5">
        <v>0</v>
      </c>
      <c r="T64" s="4">
        <v>6.1512000000000002</v>
      </c>
      <c r="U64" s="6" t="str">
        <f t="shared" si="1"/>
        <v>Profit</v>
      </c>
      <c r="V64" s="6" t="str">
        <f t="shared" si="2"/>
        <v>Low Sales</v>
      </c>
    </row>
    <row r="65" spans="1:22" x14ac:dyDescent="0.3">
      <c r="A65" s="1">
        <v>64</v>
      </c>
      <c r="B65" s="2">
        <v>41237</v>
      </c>
      <c r="C65" s="1">
        <v>2012</v>
      </c>
      <c r="D65" s="3" t="s">
        <v>20</v>
      </c>
      <c r="E65" s="2">
        <v>41243</v>
      </c>
      <c r="F65" s="1">
        <f t="shared" si="0"/>
        <v>6</v>
      </c>
      <c r="G65" s="1" t="s">
        <v>43</v>
      </c>
      <c r="H65" s="1" t="s">
        <v>184</v>
      </c>
      <c r="I65" s="1" t="s">
        <v>23</v>
      </c>
      <c r="J65" s="1" t="s">
        <v>24</v>
      </c>
      <c r="K65" s="1" t="s">
        <v>36</v>
      </c>
      <c r="L65" s="1" t="s">
        <v>37</v>
      </c>
      <c r="M65" s="1" t="s">
        <v>38</v>
      </c>
      <c r="N65" s="1" t="s">
        <v>39</v>
      </c>
      <c r="O65" s="1" t="s">
        <v>59</v>
      </c>
      <c r="P65" s="1" t="s">
        <v>186</v>
      </c>
      <c r="Q65" s="4">
        <v>25.824000000000002</v>
      </c>
      <c r="R65" s="1">
        <v>6</v>
      </c>
      <c r="S65" s="5">
        <v>0.2</v>
      </c>
      <c r="T65" s="4">
        <v>9.3612000000000002</v>
      </c>
      <c r="U65" s="6" t="str">
        <f t="shared" si="1"/>
        <v>Profit</v>
      </c>
      <c r="V65" s="6" t="str">
        <f t="shared" si="2"/>
        <v>Low Sales</v>
      </c>
    </row>
    <row r="66" spans="1:22" x14ac:dyDescent="0.3">
      <c r="A66" s="1">
        <v>65</v>
      </c>
      <c r="B66" s="2">
        <v>41237</v>
      </c>
      <c r="C66" s="1">
        <v>2012</v>
      </c>
      <c r="D66" s="3" t="s">
        <v>20</v>
      </c>
      <c r="E66" s="2">
        <v>41243</v>
      </c>
      <c r="F66" s="1">
        <f t="shared" ref="F66:F129" si="3">_xlfn.DAYS(E66,B66)</f>
        <v>6</v>
      </c>
      <c r="G66" s="1" t="s">
        <v>43</v>
      </c>
      <c r="H66" s="1" t="s">
        <v>184</v>
      </c>
      <c r="I66" s="1" t="s">
        <v>23</v>
      </c>
      <c r="J66" s="1" t="s">
        <v>24</v>
      </c>
      <c r="K66" s="1" t="s">
        <v>36</v>
      </c>
      <c r="L66" s="1" t="s">
        <v>37</v>
      </c>
      <c r="M66" s="1" t="s">
        <v>38</v>
      </c>
      <c r="N66" s="1" t="s">
        <v>39</v>
      </c>
      <c r="O66" s="1" t="s">
        <v>69</v>
      </c>
      <c r="P66" s="1" t="s">
        <v>187</v>
      </c>
      <c r="Q66" s="4">
        <v>146.72999999999999</v>
      </c>
      <c r="R66" s="1">
        <v>3</v>
      </c>
      <c r="S66" s="5">
        <v>0</v>
      </c>
      <c r="T66" s="4">
        <v>68.963099999999997</v>
      </c>
      <c r="U66" s="6" t="str">
        <f t="shared" si="1"/>
        <v>Profit</v>
      </c>
      <c r="V66" s="6" t="str">
        <f t="shared" si="2"/>
        <v>Low Sales</v>
      </c>
    </row>
    <row r="67" spans="1:22" x14ac:dyDescent="0.3">
      <c r="A67" s="1">
        <v>66</v>
      </c>
      <c r="B67" s="2">
        <v>41237</v>
      </c>
      <c r="C67" s="1">
        <v>2012</v>
      </c>
      <c r="D67" s="3" t="s">
        <v>20</v>
      </c>
      <c r="E67" s="2">
        <v>41243</v>
      </c>
      <c r="F67" s="1">
        <f t="shared" si="3"/>
        <v>6</v>
      </c>
      <c r="G67" s="1" t="s">
        <v>43</v>
      </c>
      <c r="H67" s="1" t="s">
        <v>184</v>
      </c>
      <c r="I67" s="1" t="s">
        <v>23</v>
      </c>
      <c r="J67" s="1" t="s">
        <v>24</v>
      </c>
      <c r="K67" s="1" t="s">
        <v>36</v>
      </c>
      <c r="L67" s="1" t="s">
        <v>37</v>
      </c>
      <c r="M67" s="1" t="s">
        <v>38</v>
      </c>
      <c r="N67" s="1" t="s">
        <v>28</v>
      </c>
      <c r="O67" s="1" t="s">
        <v>52</v>
      </c>
      <c r="P67" s="1" t="s">
        <v>188</v>
      </c>
      <c r="Q67" s="4">
        <v>79.760000000000005</v>
      </c>
      <c r="R67" s="1">
        <v>4</v>
      </c>
      <c r="S67" s="5">
        <v>0</v>
      </c>
      <c r="T67" s="4">
        <v>22.332799999999999</v>
      </c>
      <c r="U67" s="6" t="str">
        <f t="shared" ref="U67:U130" si="4">IF(T67&gt;0,"Profit","Loss")</f>
        <v>Profit</v>
      </c>
      <c r="V67" s="6" t="str">
        <f t="shared" ref="V67:V130" si="5">IF(Q67&gt;=1000,"High Sales",IF(Q67&gt;=500,"Medium Sales","Low Sales"))</f>
        <v>Low Sales</v>
      </c>
    </row>
    <row r="68" spans="1:22" x14ac:dyDescent="0.3">
      <c r="A68" s="1">
        <v>67</v>
      </c>
      <c r="B68" s="2">
        <v>41029</v>
      </c>
      <c r="C68" s="1">
        <v>2012</v>
      </c>
      <c r="D68" s="3" t="s">
        <v>65</v>
      </c>
      <c r="E68" s="2">
        <v>41034</v>
      </c>
      <c r="F68" s="1">
        <f t="shared" si="3"/>
        <v>5</v>
      </c>
      <c r="G68" s="1" t="s">
        <v>43</v>
      </c>
      <c r="H68" s="1" t="s">
        <v>189</v>
      </c>
      <c r="I68" s="1" t="s">
        <v>77</v>
      </c>
      <c r="J68" s="1" t="s">
        <v>24</v>
      </c>
      <c r="K68" s="1" t="s">
        <v>190</v>
      </c>
      <c r="L68" s="1" t="s">
        <v>141</v>
      </c>
      <c r="M68" s="1" t="s">
        <v>80</v>
      </c>
      <c r="N68" s="1" t="s">
        <v>28</v>
      </c>
      <c r="O68" s="1" t="s">
        <v>31</v>
      </c>
      <c r="P68" s="1" t="s">
        <v>191</v>
      </c>
      <c r="Q68" s="4">
        <v>213.11500000000001</v>
      </c>
      <c r="R68" s="1">
        <v>5</v>
      </c>
      <c r="S68" s="5">
        <v>0.3</v>
      </c>
      <c r="T68" s="4">
        <v>-15.2225</v>
      </c>
      <c r="U68" s="6" t="str">
        <f t="shared" si="4"/>
        <v>Loss</v>
      </c>
      <c r="V68" s="6" t="str">
        <f t="shared" si="5"/>
        <v>Low Sales</v>
      </c>
    </row>
    <row r="69" spans="1:22" x14ac:dyDescent="0.3">
      <c r="A69" s="1">
        <v>68</v>
      </c>
      <c r="B69" s="2">
        <v>40882</v>
      </c>
      <c r="C69" s="1">
        <v>2011</v>
      </c>
      <c r="D69" s="3" t="s">
        <v>71</v>
      </c>
      <c r="E69" s="2">
        <v>40887</v>
      </c>
      <c r="F69" s="1">
        <f t="shared" si="3"/>
        <v>5</v>
      </c>
      <c r="G69" s="1" t="s">
        <v>43</v>
      </c>
      <c r="H69" s="1" t="s">
        <v>192</v>
      </c>
      <c r="I69" s="1" t="s">
        <v>35</v>
      </c>
      <c r="J69" s="1" t="s">
        <v>24</v>
      </c>
      <c r="K69" s="1" t="s">
        <v>193</v>
      </c>
      <c r="L69" s="1" t="s">
        <v>194</v>
      </c>
      <c r="M69" s="1" t="s">
        <v>38</v>
      </c>
      <c r="N69" s="1" t="s">
        <v>39</v>
      </c>
      <c r="O69" s="1" t="s">
        <v>54</v>
      </c>
      <c r="P69" s="1" t="s">
        <v>195</v>
      </c>
      <c r="Q69" s="4">
        <v>1113.0239999999999</v>
      </c>
      <c r="R69" s="1">
        <v>8</v>
      </c>
      <c r="S69" s="5">
        <v>0.2</v>
      </c>
      <c r="T69" s="4">
        <v>111.30240000000001</v>
      </c>
      <c r="U69" s="6" t="str">
        <f t="shared" si="4"/>
        <v>Profit</v>
      </c>
      <c r="V69" s="6" t="str">
        <f t="shared" si="5"/>
        <v>High Sales</v>
      </c>
    </row>
    <row r="70" spans="1:22" x14ac:dyDescent="0.3">
      <c r="A70" s="1">
        <v>69</v>
      </c>
      <c r="B70" s="2">
        <v>40882</v>
      </c>
      <c r="C70" s="1">
        <v>2011</v>
      </c>
      <c r="D70" s="3" t="s">
        <v>71</v>
      </c>
      <c r="E70" s="2">
        <v>40887</v>
      </c>
      <c r="F70" s="1">
        <f t="shared" si="3"/>
        <v>5</v>
      </c>
      <c r="G70" s="1" t="s">
        <v>43</v>
      </c>
      <c r="H70" s="1" t="s">
        <v>192</v>
      </c>
      <c r="I70" s="1" t="s">
        <v>35</v>
      </c>
      <c r="J70" s="1" t="s">
        <v>24</v>
      </c>
      <c r="K70" s="1" t="s">
        <v>193</v>
      </c>
      <c r="L70" s="1" t="s">
        <v>194</v>
      </c>
      <c r="M70" s="1" t="s">
        <v>38</v>
      </c>
      <c r="N70" s="1" t="s">
        <v>56</v>
      </c>
      <c r="O70" s="1" t="s">
        <v>57</v>
      </c>
      <c r="P70" s="1" t="s">
        <v>196</v>
      </c>
      <c r="Q70" s="4">
        <v>167.96799999999999</v>
      </c>
      <c r="R70" s="1">
        <v>4</v>
      </c>
      <c r="S70" s="5">
        <v>0.2</v>
      </c>
      <c r="T70" s="4">
        <v>62.988</v>
      </c>
      <c r="U70" s="6" t="str">
        <f t="shared" si="4"/>
        <v>Profit</v>
      </c>
      <c r="V70" s="6" t="str">
        <f t="shared" si="5"/>
        <v>Low Sales</v>
      </c>
    </row>
    <row r="71" spans="1:22" x14ac:dyDescent="0.3">
      <c r="A71" s="1">
        <v>70</v>
      </c>
      <c r="B71" s="2">
        <v>41430</v>
      </c>
      <c r="C71" s="1">
        <v>2013</v>
      </c>
      <c r="D71" s="3" t="s">
        <v>33</v>
      </c>
      <c r="E71" s="2">
        <v>41432</v>
      </c>
      <c r="F71" s="1">
        <f t="shared" si="3"/>
        <v>2</v>
      </c>
      <c r="G71" s="1" t="s">
        <v>129</v>
      </c>
      <c r="H71" s="1" t="s">
        <v>197</v>
      </c>
      <c r="I71" s="1" t="s">
        <v>23</v>
      </c>
      <c r="J71" s="1" t="s">
        <v>24</v>
      </c>
      <c r="K71" s="1" t="s">
        <v>198</v>
      </c>
      <c r="L71" s="1" t="s">
        <v>199</v>
      </c>
      <c r="M71" s="1" t="s">
        <v>27</v>
      </c>
      <c r="N71" s="1" t="s">
        <v>39</v>
      </c>
      <c r="O71" s="1" t="s">
        <v>69</v>
      </c>
      <c r="P71" s="1" t="s">
        <v>200</v>
      </c>
      <c r="Q71" s="4">
        <v>75.88</v>
      </c>
      <c r="R71" s="1">
        <v>2</v>
      </c>
      <c r="S71" s="5">
        <v>0</v>
      </c>
      <c r="T71" s="4">
        <v>35.663600000000002</v>
      </c>
      <c r="U71" s="6" t="str">
        <f t="shared" si="4"/>
        <v>Profit</v>
      </c>
      <c r="V71" s="6" t="str">
        <f t="shared" si="5"/>
        <v>Low Sales</v>
      </c>
    </row>
    <row r="72" spans="1:22" x14ac:dyDescent="0.3">
      <c r="A72" s="1">
        <v>71</v>
      </c>
      <c r="B72" s="2">
        <v>41536</v>
      </c>
      <c r="C72" s="1">
        <v>2013</v>
      </c>
      <c r="D72" s="3" t="s">
        <v>109</v>
      </c>
      <c r="E72" s="2">
        <v>41541</v>
      </c>
      <c r="F72" s="1">
        <f t="shared" si="3"/>
        <v>5</v>
      </c>
      <c r="G72" s="1" t="s">
        <v>43</v>
      </c>
      <c r="H72" s="1" t="s">
        <v>201</v>
      </c>
      <c r="I72" s="1" t="s">
        <v>23</v>
      </c>
      <c r="J72" s="1" t="s">
        <v>24</v>
      </c>
      <c r="K72" s="1" t="s">
        <v>171</v>
      </c>
      <c r="L72" s="1" t="s">
        <v>172</v>
      </c>
      <c r="M72" s="1" t="s">
        <v>107</v>
      </c>
      <c r="N72" s="1" t="s">
        <v>39</v>
      </c>
      <c r="O72" s="1" t="s">
        <v>59</v>
      </c>
      <c r="P72" s="1" t="s">
        <v>202</v>
      </c>
      <c r="Q72" s="4">
        <v>4.6159999999999997</v>
      </c>
      <c r="R72" s="1">
        <v>1</v>
      </c>
      <c r="S72" s="5">
        <v>0.2</v>
      </c>
      <c r="T72" s="4">
        <v>1.7310000000000001</v>
      </c>
      <c r="U72" s="6" t="str">
        <f t="shared" si="4"/>
        <v>Profit</v>
      </c>
      <c r="V72" s="6" t="str">
        <f t="shared" si="5"/>
        <v>Low Sales</v>
      </c>
    </row>
    <row r="73" spans="1:22" x14ac:dyDescent="0.3">
      <c r="A73" s="1">
        <v>72</v>
      </c>
      <c r="B73" s="2">
        <v>41897</v>
      </c>
      <c r="C73" s="1">
        <v>2014</v>
      </c>
      <c r="D73" s="3" t="s">
        <v>109</v>
      </c>
      <c r="E73" s="2">
        <v>41900</v>
      </c>
      <c r="F73" s="1">
        <f t="shared" si="3"/>
        <v>3</v>
      </c>
      <c r="G73" s="1" t="s">
        <v>21</v>
      </c>
      <c r="H73" s="1" t="s">
        <v>117</v>
      </c>
      <c r="I73" s="1" t="s">
        <v>23</v>
      </c>
      <c r="J73" s="1" t="s">
        <v>24</v>
      </c>
      <c r="K73" s="1" t="s">
        <v>203</v>
      </c>
      <c r="L73" s="1" t="s">
        <v>156</v>
      </c>
      <c r="M73" s="1" t="s">
        <v>80</v>
      </c>
      <c r="N73" s="1" t="s">
        <v>39</v>
      </c>
      <c r="O73" s="1" t="s">
        <v>69</v>
      </c>
      <c r="P73" s="1" t="s">
        <v>204</v>
      </c>
      <c r="Q73" s="4">
        <v>19.05</v>
      </c>
      <c r="R73" s="1">
        <v>3</v>
      </c>
      <c r="S73" s="5">
        <v>0</v>
      </c>
      <c r="T73" s="4">
        <v>8.7629999999999999</v>
      </c>
      <c r="U73" s="6" t="str">
        <f t="shared" si="4"/>
        <v>Profit</v>
      </c>
      <c r="V73" s="6" t="str">
        <f t="shared" si="5"/>
        <v>Low Sales</v>
      </c>
    </row>
    <row r="74" spans="1:22" x14ac:dyDescent="0.3">
      <c r="A74" s="1">
        <v>73</v>
      </c>
      <c r="B74" s="2">
        <v>41025</v>
      </c>
      <c r="C74" s="1">
        <v>2012</v>
      </c>
      <c r="D74" s="3" t="s">
        <v>65</v>
      </c>
      <c r="E74" s="2">
        <v>41031</v>
      </c>
      <c r="F74" s="1">
        <f t="shared" si="3"/>
        <v>6</v>
      </c>
      <c r="G74" s="1" t="s">
        <v>43</v>
      </c>
      <c r="H74" s="1" t="s">
        <v>205</v>
      </c>
      <c r="I74" s="1" t="s">
        <v>23</v>
      </c>
      <c r="J74" s="1" t="s">
        <v>24</v>
      </c>
      <c r="K74" s="1" t="s">
        <v>206</v>
      </c>
      <c r="L74" s="1" t="s">
        <v>207</v>
      </c>
      <c r="M74" s="1" t="s">
        <v>27</v>
      </c>
      <c r="N74" s="1" t="s">
        <v>28</v>
      </c>
      <c r="O74" s="1" t="s">
        <v>31</v>
      </c>
      <c r="P74" s="1" t="s">
        <v>208</v>
      </c>
      <c r="Q74" s="4">
        <v>831.93600000000004</v>
      </c>
      <c r="R74" s="1">
        <v>8</v>
      </c>
      <c r="S74" s="5">
        <v>0.2</v>
      </c>
      <c r="T74" s="4">
        <v>-114.3912</v>
      </c>
      <c r="U74" s="6" t="str">
        <f t="shared" si="4"/>
        <v>Loss</v>
      </c>
      <c r="V74" s="6" t="str">
        <f t="shared" si="5"/>
        <v>Medium Sales</v>
      </c>
    </row>
    <row r="75" spans="1:22" x14ac:dyDescent="0.3">
      <c r="A75" s="1">
        <v>74</v>
      </c>
      <c r="B75" s="2">
        <v>41025</v>
      </c>
      <c r="C75" s="1">
        <v>2012</v>
      </c>
      <c r="D75" s="3" t="s">
        <v>65</v>
      </c>
      <c r="E75" s="2">
        <v>41031</v>
      </c>
      <c r="F75" s="1">
        <f t="shared" si="3"/>
        <v>6</v>
      </c>
      <c r="G75" s="1" t="s">
        <v>43</v>
      </c>
      <c r="H75" s="1" t="s">
        <v>205</v>
      </c>
      <c r="I75" s="1" t="s">
        <v>23</v>
      </c>
      <c r="J75" s="1" t="s">
        <v>24</v>
      </c>
      <c r="K75" s="1" t="s">
        <v>206</v>
      </c>
      <c r="L75" s="1" t="s">
        <v>207</v>
      </c>
      <c r="M75" s="1" t="s">
        <v>27</v>
      </c>
      <c r="N75" s="1" t="s">
        <v>28</v>
      </c>
      <c r="O75" s="1" t="s">
        <v>52</v>
      </c>
      <c r="P75" s="1" t="s">
        <v>209</v>
      </c>
      <c r="Q75" s="4">
        <v>97.04</v>
      </c>
      <c r="R75" s="1">
        <v>2</v>
      </c>
      <c r="S75" s="5">
        <v>0.2</v>
      </c>
      <c r="T75" s="4">
        <v>1.2130000000000001</v>
      </c>
      <c r="U75" s="6" t="str">
        <f t="shared" si="4"/>
        <v>Profit</v>
      </c>
      <c r="V75" s="6" t="str">
        <f t="shared" si="5"/>
        <v>Low Sales</v>
      </c>
    </row>
    <row r="76" spans="1:22" x14ac:dyDescent="0.3">
      <c r="A76" s="1">
        <v>75</v>
      </c>
      <c r="B76" s="2">
        <v>41025</v>
      </c>
      <c r="C76" s="1">
        <v>2012</v>
      </c>
      <c r="D76" s="3" t="s">
        <v>65</v>
      </c>
      <c r="E76" s="2">
        <v>41031</v>
      </c>
      <c r="F76" s="1">
        <f t="shared" si="3"/>
        <v>6</v>
      </c>
      <c r="G76" s="1" t="s">
        <v>43</v>
      </c>
      <c r="H76" s="1" t="s">
        <v>205</v>
      </c>
      <c r="I76" s="1" t="s">
        <v>23</v>
      </c>
      <c r="J76" s="1" t="s">
        <v>24</v>
      </c>
      <c r="K76" s="1" t="s">
        <v>206</v>
      </c>
      <c r="L76" s="1" t="s">
        <v>207</v>
      </c>
      <c r="M76" s="1" t="s">
        <v>27</v>
      </c>
      <c r="N76" s="1" t="s">
        <v>39</v>
      </c>
      <c r="O76" s="1" t="s">
        <v>49</v>
      </c>
      <c r="P76" s="1" t="s">
        <v>210</v>
      </c>
      <c r="Q76" s="4">
        <v>72.784000000000006</v>
      </c>
      <c r="R76" s="1">
        <v>1</v>
      </c>
      <c r="S76" s="5">
        <v>0.2</v>
      </c>
      <c r="T76" s="4">
        <v>-18.196000000000002</v>
      </c>
      <c r="U76" s="6" t="str">
        <f t="shared" si="4"/>
        <v>Loss</v>
      </c>
      <c r="V76" s="6" t="str">
        <f t="shared" si="5"/>
        <v>Low Sales</v>
      </c>
    </row>
    <row r="77" spans="1:22" x14ac:dyDescent="0.3">
      <c r="A77" s="1">
        <v>76</v>
      </c>
      <c r="B77" s="2">
        <v>41983</v>
      </c>
      <c r="C77" s="1">
        <v>2014</v>
      </c>
      <c r="D77" s="3" t="s">
        <v>71</v>
      </c>
      <c r="E77" s="2">
        <v>41985</v>
      </c>
      <c r="F77" s="1">
        <f t="shared" si="3"/>
        <v>2</v>
      </c>
      <c r="G77" s="1" t="s">
        <v>129</v>
      </c>
      <c r="H77" s="1" t="s">
        <v>211</v>
      </c>
      <c r="I77" s="1" t="s">
        <v>35</v>
      </c>
      <c r="J77" s="1" t="s">
        <v>24</v>
      </c>
      <c r="K77" s="1" t="s">
        <v>127</v>
      </c>
      <c r="L77" s="1" t="s">
        <v>79</v>
      </c>
      <c r="M77" s="1" t="s">
        <v>80</v>
      </c>
      <c r="N77" s="1" t="s">
        <v>39</v>
      </c>
      <c r="O77" s="1" t="s">
        <v>59</v>
      </c>
      <c r="P77" s="1" t="s">
        <v>212</v>
      </c>
      <c r="Q77" s="4">
        <v>1.248</v>
      </c>
      <c r="R77" s="1">
        <v>3</v>
      </c>
      <c r="S77" s="5">
        <v>0.8</v>
      </c>
      <c r="T77" s="4">
        <v>-1.9343999999999999</v>
      </c>
      <c r="U77" s="6" t="str">
        <f t="shared" si="4"/>
        <v>Loss</v>
      </c>
      <c r="V77" s="6" t="str">
        <f t="shared" si="5"/>
        <v>Low Sales</v>
      </c>
    </row>
    <row r="78" spans="1:22" x14ac:dyDescent="0.3">
      <c r="A78" s="1">
        <v>77</v>
      </c>
      <c r="B78" s="2">
        <v>41983</v>
      </c>
      <c r="C78" s="1">
        <v>2014</v>
      </c>
      <c r="D78" s="3" t="s">
        <v>71</v>
      </c>
      <c r="E78" s="2">
        <v>41985</v>
      </c>
      <c r="F78" s="1">
        <f t="shared" si="3"/>
        <v>2</v>
      </c>
      <c r="G78" s="1" t="s">
        <v>129</v>
      </c>
      <c r="H78" s="1" t="s">
        <v>211</v>
      </c>
      <c r="I78" s="1" t="s">
        <v>35</v>
      </c>
      <c r="J78" s="1" t="s">
        <v>24</v>
      </c>
      <c r="K78" s="1" t="s">
        <v>127</v>
      </c>
      <c r="L78" s="1" t="s">
        <v>79</v>
      </c>
      <c r="M78" s="1" t="s">
        <v>80</v>
      </c>
      <c r="N78" s="1" t="s">
        <v>28</v>
      </c>
      <c r="O78" s="1" t="s">
        <v>52</v>
      </c>
      <c r="P78" s="1" t="s">
        <v>213</v>
      </c>
      <c r="Q78" s="4">
        <v>9.7080000000000002</v>
      </c>
      <c r="R78" s="1">
        <v>3</v>
      </c>
      <c r="S78" s="5">
        <v>0.6</v>
      </c>
      <c r="T78" s="4">
        <v>-5.8247999999999998</v>
      </c>
      <c r="U78" s="6" t="str">
        <f t="shared" si="4"/>
        <v>Loss</v>
      </c>
      <c r="V78" s="6" t="str">
        <f t="shared" si="5"/>
        <v>Low Sales</v>
      </c>
    </row>
    <row r="79" spans="1:22" x14ac:dyDescent="0.3">
      <c r="A79" s="1">
        <v>78</v>
      </c>
      <c r="B79" s="2">
        <v>41983</v>
      </c>
      <c r="C79" s="1">
        <v>2014</v>
      </c>
      <c r="D79" s="3" t="s">
        <v>71</v>
      </c>
      <c r="E79" s="2">
        <v>41985</v>
      </c>
      <c r="F79" s="1">
        <f t="shared" si="3"/>
        <v>2</v>
      </c>
      <c r="G79" s="1" t="s">
        <v>129</v>
      </c>
      <c r="H79" s="1" t="s">
        <v>211</v>
      </c>
      <c r="I79" s="1" t="s">
        <v>35</v>
      </c>
      <c r="J79" s="1" t="s">
        <v>24</v>
      </c>
      <c r="K79" s="1" t="s">
        <v>127</v>
      </c>
      <c r="L79" s="1" t="s">
        <v>79</v>
      </c>
      <c r="M79" s="1" t="s">
        <v>80</v>
      </c>
      <c r="N79" s="1" t="s">
        <v>39</v>
      </c>
      <c r="O79" s="1" t="s">
        <v>49</v>
      </c>
      <c r="P79" s="1" t="s">
        <v>214</v>
      </c>
      <c r="Q79" s="4">
        <v>27.24</v>
      </c>
      <c r="R79" s="1">
        <v>3</v>
      </c>
      <c r="S79" s="5">
        <v>0.2</v>
      </c>
      <c r="T79" s="4">
        <v>2.7240000000000002</v>
      </c>
      <c r="U79" s="6" t="str">
        <f t="shared" si="4"/>
        <v>Profit</v>
      </c>
      <c r="V79" s="6" t="str">
        <f t="shared" si="5"/>
        <v>Low Sales</v>
      </c>
    </row>
    <row r="80" spans="1:22" x14ac:dyDescent="0.3">
      <c r="A80" s="1">
        <v>79</v>
      </c>
      <c r="B80" s="2">
        <v>40873</v>
      </c>
      <c r="C80" s="1">
        <v>2011</v>
      </c>
      <c r="D80" s="3" t="s">
        <v>20</v>
      </c>
      <c r="E80" s="2">
        <v>40878</v>
      </c>
      <c r="F80" s="1">
        <f t="shared" si="3"/>
        <v>5</v>
      </c>
      <c r="G80" s="1" t="s">
        <v>21</v>
      </c>
      <c r="H80" s="1" t="s">
        <v>205</v>
      </c>
      <c r="I80" s="1" t="s">
        <v>23</v>
      </c>
      <c r="J80" s="1" t="s">
        <v>24</v>
      </c>
      <c r="K80" s="1" t="s">
        <v>127</v>
      </c>
      <c r="L80" s="1" t="s">
        <v>79</v>
      </c>
      <c r="M80" s="1" t="s">
        <v>80</v>
      </c>
      <c r="N80" s="1" t="s">
        <v>28</v>
      </c>
      <c r="O80" s="1" t="s">
        <v>52</v>
      </c>
      <c r="P80" s="1" t="s">
        <v>215</v>
      </c>
      <c r="Q80" s="4">
        <v>19.3</v>
      </c>
      <c r="R80" s="1">
        <v>5</v>
      </c>
      <c r="S80" s="5">
        <v>0.6</v>
      </c>
      <c r="T80" s="4">
        <v>-14.475</v>
      </c>
      <c r="U80" s="6" t="str">
        <f t="shared" si="4"/>
        <v>Loss</v>
      </c>
      <c r="V80" s="6" t="str">
        <f t="shared" si="5"/>
        <v>Low Sales</v>
      </c>
    </row>
    <row r="81" spans="1:22" x14ac:dyDescent="0.3">
      <c r="A81" s="1">
        <v>80</v>
      </c>
      <c r="B81" s="2">
        <v>41438</v>
      </c>
      <c r="C81" s="1">
        <v>2013</v>
      </c>
      <c r="D81" s="3" t="s">
        <v>33</v>
      </c>
      <c r="E81" s="2">
        <v>41441</v>
      </c>
      <c r="F81" s="1">
        <f t="shared" si="3"/>
        <v>3</v>
      </c>
      <c r="G81" s="1" t="s">
        <v>129</v>
      </c>
      <c r="H81" s="1" t="s">
        <v>216</v>
      </c>
      <c r="I81" s="1" t="s">
        <v>35</v>
      </c>
      <c r="J81" s="1" t="s">
        <v>24</v>
      </c>
      <c r="K81" s="1" t="s">
        <v>217</v>
      </c>
      <c r="L81" s="1" t="s">
        <v>218</v>
      </c>
      <c r="M81" s="1" t="s">
        <v>27</v>
      </c>
      <c r="N81" s="1" t="s">
        <v>39</v>
      </c>
      <c r="O81" s="1" t="s">
        <v>61</v>
      </c>
      <c r="P81" s="1" t="s">
        <v>219</v>
      </c>
      <c r="Q81" s="4">
        <v>208.16</v>
      </c>
      <c r="R81" s="1">
        <v>1</v>
      </c>
      <c r="S81" s="5">
        <v>0</v>
      </c>
      <c r="T81" s="4">
        <v>56.203200000000002</v>
      </c>
      <c r="U81" s="6" t="str">
        <f t="shared" si="4"/>
        <v>Profit</v>
      </c>
      <c r="V81" s="6" t="str">
        <f t="shared" si="5"/>
        <v>Low Sales</v>
      </c>
    </row>
    <row r="82" spans="1:22" x14ac:dyDescent="0.3">
      <c r="A82" s="1">
        <v>81</v>
      </c>
      <c r="B82" s="2">
        <v>41438</v>
      </c>
      <c r="C82" s="1">
        <v>2013</v>
      </c>
      <c r="D82" s="3" t="s">
        <v>33</v>
      </c>
      <c r="E82" s="2">
        <v>41441</v>
      </c>
      <c r="F82" s="1">
        <f t="shared" si="3"/>
        <v>3</v>
      </c>
      <c r="G82" s="1" t="s">
        <v>129</v>
      </c>
      <c r="H82" s="1" t="s">
        <v>216</v>
      </c>
      <c r="I82" s="1" t="s">
        <v>35</v>
      </c>
      <c r="J82" s="1" t="s">
        <v>24</v>
      </c>
      <c r="K82" s="1" t="s">
        <v>217</v>
      </c>
      <c r="L82" s="1" t="s">
        <v>218</v>
      </c>
      <c r="M82" s="1" t="s">
        <v>27</v>
      </c>
      <c r="N82" s="1" t="s">
        <v>39</v>
      </c>
      <c r="O82" s="1" t="s">
        <v>59</v>
      </c>
      <c r="P82" s="1" t="s">
        <v>220</v>
      </c>
      <c r="Q82" s="4">
        <v>16.739999999999998</v>
      </c>
      <c r="R82" s="1">
        <v>3</v>
      </c>
      <c r="S82" s="5">
        <v>0</v>
      </c>
      <c r="T82" s="4">
        <v>8.0351999999999997</v>
      </c>
      <c r="U82" s="6" t="str">
        <f t="shared" si="4"/>
        <v>Profit</v>
      </c>
      <c r="V82" s="6" t="str">
        <f t="shared" si="5"/>
        <v>Low Sales</v>
      </c>
    </row>
    <row r="83" spans="1:22" x14ac:dyDescent="0.3">
      <c r="A83" s="1">
        <v>82</v>
      </c>
      <c r="B83" s="2">
        <v>40828</v>
      </c>
      <c r="C83" s="1">
        <v>2011</v>
      </c>
      <c r="D83" s="3" t="s">
        <v>42</v>
      </c>
      <c r="E83" s="2">
        <v>40832</v>
      </c>
      <c r="F83" s="1">
        <f t="shared" si="3"/>
        <v>4</v>
      </c>
      <c r="G83" s="1" t="s">
        <v>43</v>
      </c>
      <c r="H83" s="1" t="s">
        <v>221</v>
      </c>
      <c r="I83" s="1" t="s">
        <v>23</v>
      </c>
      <c r="J83" s="1" t="s">
        <v>24</v>
      </c>
      <c r="K83" s="1" t="s">
        <v>94</v>
      </c>
      <c r="L83" s="1" t="s">
        <v>37</v>
      </c>
      <c r="M83" s="1" t="s">
        <v>38</v>
      </c>
      <c r="N83" s="1" t="s">
        <v>39</v>
      </c>
      <c r="O83" s="1" t="s">
        <v>54</v>
      </c>
      <c r="P83" s="1" t="s">
        <v>222</v>
      </c>
      <c r="Q83" s="4">
        <v>14.9</v>
      </c>
      <c r="R83" s="1">
        <v>5</v>
      </c>
      <c r="S83" s="5">
        <v>0</v>
      </c>
      <c r="T83" s="4">
        <v>4.1719999999999997</v>
      </c>
      <c r="U83" s="6" t="str">
        <f t="shared" si="4"/>
        <v>Profit</v>
      </c>
      <c r="V83" s="6" t="str">
        <f t="shared" si="5"/>
        <v>Low Sales</v>
      </c>
    </row>
    <row r="84" spans="1:22" x14ac:dyDescent="0.3">
      <c r="A84" s="1">
        <v>83</v>
      </c>
      <c r="B84" s="2">
        <v>40828</v>
      </c>
      <c r="C84" s="1">
        <v>2011</v>
      </c>
      <c r="D84" s="3" t="s">
        <v>42</v>
      </c>
      <c r="E84" s="2">
        <v>40832</v>
      </c>
      <c r="F84" s="1">
        <f t="shared" si="3"/>
        <v>4</v>
      </c>
      <c r="G84" s="1" t="s">
        <v>43</v>
      </c>
      <c r="H84" s="1" t="s">
        <v>221</v>
      </c>
      <c r="I84" s="1" t="s">
        <v>23</v>
      </c>
      <c r="J84" s="1" t="s">
        <v>24</v>
      </c>
      <c r="K84" s="1" t="s">
        <v>94</v>
      </c>
      <c r="L84" s="1" t="s">
        <v>37</v>
      </c>
      <c r="M84" s="1" t="s">
        <v>38</v>
      </c>
      <c r="N84" s="1" t="s">
        <v>39</v>
      </c>
      <c r="O84" s="1" t="s">
        <v>49</v>
      </c>
      <c r="P84" s="1" t="s">
        <v>223</v>
      </c>
      <c r="Q84" s="4">
        <v>21.39</v>
      </c>
      <c r="R84" s="1">
        <v>1</v>
      </c>
      <c r="S84" s="5">
        <v>0</v>
      </c>
      <c r="T84" s="4">
        <v>6.2031000000000001</v>
      </c>
      <c r="U84" s="6" t="str">
        <f t="shared" si="4"/>
        <v>Profit</v>
      </c>
      <c r="V84" s="6" t="str">
        <f t="shared" si="5"/>
        <v>Low Sales</v>
      </c>
    </row>
    <row r="85" spans="1:22" x14ac:dyDescent="0.3">
      <c r="A85" s="1">
        <v>84</v>
      </c>
      <c r="B85" s="2">
        <v>41155</v>
      </c>
      <c r="C85" s="1">
        <v>2012</v>
      </c>
      <c r="D85" s="3" t="s">
        <v>109</v>
      </c>
      <c r="E85" s="2">
        <v>41160</v>
      </c>
      <c r="F85" s="1">
        <f t="shared" si="3"/>
        <v>5</v>
      </c>
      <c r="G85" s="1" t="s">
        <v>43</v>
      </c>
      <c r="H85" s="1" t="s">
        <v>224</v>
      </c>
      <c r="I85" s="1" t="s">
        <v>35</v>
      </c>
      <c r="J85" s="1" t="s">
        <v>24</v>
      </c>
      <c r="K85" s="1" t="s">
        <v>225</v>
      </c>
      <c r="L85" s="1" t="s">
        <v>68</v>
      </c>
      <c r="M85" s="1" t="s">
        <v>27</v>
      </c>
      <c r="N85" s="1" t="s">
        <v>39</v>
      </c>
      <c r="O85" s="1" t="s">
        <v>121</v>
      </c>
      <c r="P85" s="1" t="s">
        <v>226</v>
      </c>
      <c r="Q85" s="4">
        <v>200.98400000000001</v>
      </c>
      <c r="R85" s="1">
        <v>7</v>
      </c>
      <c r="S85" s="5">
        <v>0.2</v>
      </c>
      <c r="T85" s="4">
        <v>62.807499999999997</v>
      </c>
      <c r="U85" s="6" t="str">
        <f t="shared" si="4"/>
        <v>Profit</v>
      </c>
      <c r="V85" s="6" t="str">
        <f t="shared" si="5"/>
        <v>Low Sales</v>
      </c>
    </row>
    <row r="86" spans="1:22" x14ac:dyDescent="0.3">
      <c r="A86" s="1">
        <v>85</v>
      </c>
      <c r="B86" s="2">
        <v>41957</v>
      </c>
      <c r="C86" s="1">
        <v>2014</v>
      </c>
      <c r="D86" s="3" t="s">
        <v>20</v>
      </c>
      <c r="E86" s="2">
        <v>41960</v>
      </c>
      <c r="F86" s="1">
        <f t="shared" si="3"/>
        <v>3</v>
      </c>
      <c r="G86" s="1" t="s">
        <v>129</v>
      </c>
      <c r="H86" s="1" t="s">
        <v>227</v>
      </c>
      <c r="I86" s="1" t="s">
        <v>77</v>
      </c>
      <c r="J86" s="1" t="s">
        <v>24</v>
      </c>
      <c r="K86" s="1" t="s">
        <v>190</v>
      </c>
      <c r="L86" s="1" t="s">
        <v>141</v>
      </c>
      <c r="M86" s="1" t="s">
        <v>80</v>
      </c>
      <c r="N86" s="1" t="s">
        <v>39</v>
      </c>
      <c r="O86" s="1" t="s">
        <v>49</v>
      </c>
      <c r="P86" s="1" t="s">
        <v>228</v>
      </c>
      <c r="Q86" s="4">
        <v>230.376</v>
      </c>
      <c r="R86" s="1">
        <v>3</v>
      </c>
      <c r="S86" s="5">
        <v>0.2</v>
      </c>
      <c r="T86" s="4">
        <v>-48.954900000000002</v>
      </c>
      <c r="U86" s="6" t="str">
        <f t="shared" si="4"/>
        <v>Loss</v>
      </c>
      <c r="V86" s="6" t="str">
        <f t="shared" si="5"/>
        <v>Low Sales</v>
      </c>
    </row>
    <row r="87" spans="1:22" x14ac:dyDescent="0.3">
      <c r="A87" s="1">
        <v>86</v>
      </c>
      <c r="B87" s="2">
        <v>41788</v>
      </c>
      <c r="C87" s="1">
        <v>2014</v>
      </c>
      <c r="D87" s="3" t="s">
        <v>87</v>
      </c>
      <c r="E87" s="2">
        <v>41790</v>
      </c>
      <c r="F87" s="1">
        <f t="shared" si="3"/>
        <v>2</v>
      </c>
      <c r="G87" s="1" t="s">
        <v>21</v>
      </c>
      <c r="H87" s="1" t="s">
        <v>154</v>
      </c>
      <c r="I87" s="1" t="s">
        <v>23</v>
      </c>
      <c r="J87" s="1" t="s">
        <v>24</v>
      </c>
      <c r="K87" s="1" t="s">
        <v>229</v>
      </c>
      <c r="L87" s="1" t="s">
        <v>230</v>
      </c>
      <c r="M87" s="1" t="s">
        <v>27</v>
      </c>
      <c r="N87" s="1" t="s">
        <v>28</v>
      </c>
      <c r="O87" s="1" t="s">
        <v>31</v>
      </c>
      <c r="P87" s="1" t="s">
        <v>231</v>
      </c>
      <c r="Q87" s="4">
        <v>301.95999999999998</v>
      </c>
      <c r="R87" s="1">
        <v>2</v>
      </c>
      <c r="S87" s="5">
        <v>0</v>
      </c>
      <c r="T87" s="4">
        <v>33.215600000000002</v>
      </c>
      <c r="U87" s="6" t="str">
        <f t="shared" si="4"/>
        <v>Profit</v>
      </c>
      <c r="V87" s="6" t="str">
        <f t="shared" si="5"/>
        <v>Low Sales</v>
      </c>
    </row>
    <row r="88" spans="1:22" x14ac:dyDescent="0.3">
      <c r="A88" s="1">
        <v>87</v>
      </c>
      <c r="B88" s="2">
        <v>41939</v>
      </c>
      <c r="C88" s="1">
        <v>2014</v>
      </c>
      <c r="D88" s="3" t="s">
        <v>42</v>
      </c>
      <c r="E88" s="2">
        <v>41946</v>
      </c>
      <c r="F88" s="1">
        <f t="shared" si="3"/>
        <v>7</v>
      </c>
      <c r="G88" s="1" t="s">
        <v>43</v>
      </c>
      <c r="H88" s="1" t="s">
        <v>232</v>
      </c>
      <c r="I88" s="1" t="s">
        <v>23</v>
      </c>
      <c r="J88" s="1" t="s">
        <v>24</v>
      </c>
      <c r="K88" s="1" t="s">
        <v>233</v>
      </c>
      <c r="L88" s="1" t="s">
        <v>151</v>
      </c>
      <c r="M88" s="1" t="s">
        <v>80</v>
      </c>
      <c r="N88" s="1" t="s">
        <v>56</v>
      </c>
      <c r="O88" s="1" t="s">
        <v>115</v>
      </c>
      <c r="P88" s="1" t="s">
        <v>234</v>
      </c>
      <c r="Q88" s="4">
        <v>19.989999999999998</v>
      </c>
      <c r="R88" s="1">
        <v>1</v>
      </c>
      <c r="S88" s="5">
        <v>0</v>
      </c>
      <c r="T88" s="4">
        <v>6.7965999999999998</v>
      </c>
      <c r="U88" s="6" t="str">
        <f t="shared" si="4"/>
        <v>Profit</v>
      </c>
      <c r="V88" s="6" t="str">
        <f t="shared" si="5"/>
        <v>Low Sales</v>
      </c>
    </row>
    <row r="89" spans="1:22" x14ac:dyDescent="0.3">
      <c r="A89" s="1">
        <v>88</v>
      </c>
      <c r="B89" s="2">
        <v>41939</v>
      </c>
      <c r="C89" s="1">
        <v>2014</v>
      </c>
      <c r="D89" s="3" t="s">
        <v>42</v>
      </c>
      <c r="E89" s="2">
        <v>41946</v>
      </c>
      <c r="F89" s="1">
        <f t="shared" si="3"/>
        <v>7</v>
      </c>
      <c r="G89" s="1" t="s">
        <v>43</v>
      </c>
      <c r="H89" s="1" t="s">
        <v>232</v>
      </c>
      <c r="I89" s="1" t="s">
        <v>23</v>
      </c>
      <c r="J89" s="1" t="s">
        <v>24</v>
      </c>
      <c r="K89" s="1" t="s">
        <v>233</v>
      </c>
      <c r="L89" s="1" t="s">
        <v>151</v>
      </c>
      <c r="M89" s="1" t="s">
        <v>80</v>
      </c>
      <c r="N89" s="1" t="s">
        <v>39</v>
      </c>
      <c r="O89" s="1" t="s">
        <v>40</v>
      </c>
      <c r="P89" s="1" t="s">
        <v>235</v>
      </c>
      <c r="Q89" s="4">
        <v>6.16</v>
      </c>
      <c r="R89" s="1">
        <v>2</v>
      </c>
      <c r="S89" s="5">
        <v>0</v>
      </c>
      <c r="T89" s="4">
        <v>2.9567999999999999</v>
      </c>
      <c r="U89" s="6" t="str">
        <f t="shared" si="4"/>
        <v>Profit</v>
      </c>
      <c r="V89" s="6" t="str">
        <f t="shared" si="5"/>
        <v>Low Sales</v>
      </c>
    </row>
    <row r="90" spans="1:22" x14ac:dyDescent="0.3">
      <c r="A90" s="1">
        <v>89</v>
      </c>
      <c r="B90" s="2">
        <v>41370</v>
      </c>
      <c r="C90" s="1">
        <v>2013</v>
      </c>
      <c r="D90" s="3" t="s">
        <v>65</v>
      </c>
      <c r="E90" s="2">
        <v>41375</v>
      </c>
      <c r="F90" s="1">
        <f t="shared" si="3"/>
        <v>5</v>
      </c>
      <c r="G90" s="1" t="s">
        <v>21</v>
      </c>
      <c r="H90" s="1" t="s">
        <v>236</v>
      </c>
      <c r="I90" s="1" t="s">
        <v>77</v>
      </c>
      <c r="J90" s="1" t="s">
        <v>24</v>
      </c>
      <c r="K90" s="1" t="s">
        <v>127</v>
      </c>
      <c r="L90" s="1" t="s">
        <v>79</v>
      </c>
      <c r="M90" s="1" t="s">
        <v>80</v>
      </c>
      <c r="N90" s="1" t="s">
        <v>39</v>
      </c>
      <c r="O90" s="1" t="s">
        <v>49</v>
      </c>
      <c r="P90" s="1" t="s">
        <v>237</v>
      </c>
      <c r="Q90" s="4">
        <v>158.36799999999999</v>
      </c>
      <c r="R90" s="1">
        <v>7</v>
      </c>
      <c r="S90" s="5">
        <v>0.2</v>
      </c>
      <c r="T90" s="4">
        <v>13.857200000000001</v>
      </c>
      <c r="U90" s="6" t="str">
        <f t="shared" si="4"/>
        <v>Profit</v>
      </c>
      <c r="V90" s="6" t="str">
        <f t="shared" si="5"/>
        <v>Low Sales</v>
      </c>
    </row>
    <row r="91" spans="1:22" x14ac:dyDescent="0.3">
      <c r="A91" s="1">
        <v>90</v>
      </c>
      <c r="B91" s="2">
        <v>41535</v>
      </c>
      <c r="C91" s="1">
        <v>2013</v>
      </c>
      <c r="D91" s="3" t="s">
        <v>109</v>
      </c>
      <c r="E91" s="2">
        <v>41540</v>
      </c>
      <c r="F91" s="1">
        <f t="shared" si="3"/>
        <v>5</v>
      </c>
      <c r="G91" s="1" t="s">
        <v>43</v>
      </c>
      <c r="H91" s="1" t="s">
        <v>238</v>
      </c>
      <c r="I91" s="1" t="s">
        <v>35</v>
      </c>
      <c r="J91" s="1" t="s">
        <v>24</v>
      </c>
      <c r="K91" s="1" t="s">
        <v>36</v>
      </c>
      <c r="L91" s="1" t="s">
        <v>37</v>
      </c>
      <c r="M91" s="1" t="s">
        <v>38</v>
      </c>
      <c r="N91" s="1" t="s">
        <v>39</v>
      </c>
      <c r="O91" s="1" t="s">
        <v>54</v>
      </c>
      <c r="P91" s="1" t="s">
        <v>239</v>
      </c>
      <c r="Q91" s="4">
        <v>20.100000000000001</v>
      </c>
      <c r="R91" s="1">
        <v>3</v>
      </c>
      <c r="S91" s="5">
        <v>0</v>
      </c>
      <c r="T91" s="4">
        <v>6.633</v>
      </c>
      <c r="U91" s="6" t="str">
        <f t="shared" si="4"/>
        <v>Profit</v>
      </c>
      <c r="V91" s="6" t="str">
        <f t="shared" si="5"/>
        <v>Low Sales</v>
      </c>
    </row>
    <row r="92" spans="1:22" x14ac:dyDescent="0.3">
      <c r="A92" s="1">
        <v>91</v>
      </c>
      <c r="B92" s="2">
        <v>41535</v>
      </c>
      <c r="C92" s="1">
        <v>2013</v>
      </c>
      <c r="D92" s="3" t="s">
        <v>109</v>
      </c>
      <c r="E92" s="2">
        <v>41540</v>
      </c>
      <c r="F92" s="1">
        <f t="shared" si="3"/>
        <v>5</v>
      </c>
      <c r="G92" s="1" t="s">
        <v>43</v>
      </c>
      <c r="H92" s="1" t="s">
        <v>238</v>
      </c>
      <c r="I92" s="1" t="s">
        <v>35</v>
      </c>
      <c r="J92" s="1" t="s">
        <v>24</v>
      </c>
      <c r="K92" s="1" t="s">
        <v>36</v>
      </c>
      <c r="L92" s="1" t="s">
        <v>37</v>
      </c>
      <c r="M92" s="1" t="s">
        <v>38</v>
      </c>
      <c r="N92" s="1" t="s">
        <v>56</v>
      </c>
      <c r="O92" s="1" t="s">
        <v>57</v>
      </c>
      <c r="P92" s="1" t="s">
        <v>142</v>
      </c>
      <c r="Q92" s="4">
        <v>73.584000000000003</v>
      </c>
      <c r="R92" s="1">
        <v>2</v>
      </c>
      <c r="S92" s="5">
        <v>0.2</v>
      </c>
      <c r="T92" s="4">
        <v>8.2782</v>
      </c>
      <c r="U92" s="6" t="str">
        <f t="shared" si="4"/>
        <v>Profit</v>
      </c>
      <c r="V92" s="6" t="str">
        <f t="shared" si="5"/>
        <v>Low Sales</v>
      </c>
    </row>
    <row r="93" spans="1:22" x14ac:dyDescent="0.3">
      <c r="A93" s="1">
        <v>92</v>
      </c>
      <c r="B93" s="2">
        <v>41535</v>
      </c>
      <c r="C93" s="1">
        <v>2013</v>
      </c>
      <c r="D93" s="3" t="s">
        <v>109</v>
      </c>
      <c r="E93" s="2">
        <v>41540</v>
      </c>
      <c r="F93" s="1">
        <f t="shared" si="3"/>
        <v>5</v>
      </c>
      <c r="G93" s="1" t="s">
        <v>43</v>
      </c>
      <c r="H93" s="1" t="s">
        <v>238</v>
      </c>
      <c r="I93" s="1" t="s">
        <v>35</v>
      </c>
      <c r="J93" s="1" t="s">
        <v>24</v>
      </c>
      <c r="K93" s="1" t="s">
        <v>36</v>
      </c>
      <c r="L93" s="1" t="s">
        <v>37</v>
      </c>
      <c r="M93" s="1" t="s">
        <v>38</v>
      </c>
      <c r="N93" s="1" t="s">
        <v>39</v>
      </c>
      <c r="O93" s="1" t="s">
        <v>69</v>
      </c>
      <c r="P93" s="1" t="s">
        <v>240</v>
      </c>
      <c r="Q93" s="4">
        <v>6.48</v>
      </c>
      <c r="R93" s="1">
        <v>1</v>
      </c>
      <c r="S93" s="5">
        <v>0</v>
      </c>
      <c r="T93" s="4">
        <v>3.1103999999999998</v>
      </c>
      <c r="U93" s="6" t="str">
        <f t="shared" si="4"/>
        <v>Profit</v>
      </c>
      <c r="V93" s="6" t="str">
        <f t="shared" si="5"/>
        <v>Low Sales</v>
      </c>
    </row>
    <row r="94" spans="1:22" x14ac:dyDescent="0.3">
      <c r="A94" s="1">
        <v>93</v>
      </c>
      <c r="B94" s="2">
        <v>40939</v>
      </c>
      <c r="C94" s="1">
        <v>2012</v>
      </c>
      <c r="D94" s="3" t="s">
        <v>112</v>
      </c>
      <c r="E94" s="2">
        <v>40944</v>
      </c>
      <c r="F94" s="1">
        <f t="shared" si="3"/>
        <v>5</v>
      </c>
      <c r="G94" s="1" t="s">
        <v>21</v>
      </c>
      <c r="H94" s="1" t="s">
        <v>241</v>
      </c>
      <c r="I94" s="1" t="s">
        <v>23</v>
      </c>
      <c r="J94" s="1" t="s">
        <v>24</v>
      </c>
      <c r="K94" s="1" t="s">
        <v>242</v>
      </c>
      <c r="L94" s="1" t="s">
        <v>151</v>
      </c>
      <c r="M94" s="1" t="s">
        <v>80</v>
      </c>
      <c r="N94" s="1" t="s">
        <v>39</v>
      </c>
      <c r="O94" s="1" t="s">
        <v>69</v>
      </c>
      <c r="P94" s="1" t="s">
        <v>243</v>
      </c>
      <c r="Q94" s="4">
        <v>12.96</v>
      </c>
      <c r="R94" s="1">
        <v>2</v>
      </c>
      <c r="S94" s="5">
        <v>0</v>
      </c>
      <c r="T94" s="4">
        <v>6.2207999999999997</v>
      </c>
      <c r="U94" s="6" t="str">
        <f t="shared" si="4"/>
        <v>Profit</v>
      </c>
      <c r="V94" s="6" t="str">
        <f t="shared" si="5"/>
        <v>Low Sales</v>
      </c>
    </row>
    <row r="95" spans="1:22" x14ac:dyDescent="0.3">
      <c r="A95" s="1">
        <v>94</v>
      </c>
      <c r="B95" s="2">
        <v>40939</v>
      </c>
      <c r="C95" s="1">
        <v>2012</v>
      </c>
      <c r="D95" s="3" t="s">
        <v>112</v>
      </c>
      <c r="E95" s="2">
        <v>40944</v>
      </c>
      <c r="F95" s="1">
        <f t="shared" si="3"/>
        <v>5</v>
      </c>
      <c r="G95" s="1" t="s">
        <v>21</v>
      </c>
      <c r="H95" s="1" t="s">
        <v>241</v>
      </c>
      <c r="I95" s="1" t="s">
        <v>23</v>
      </c>
      <c r="J95" s="1" t="s">
        <v>24</v>
      </c>
      <c r="K95" s="1" t="s">
        <v>242</v>
      </c>
      <c r="L95" s="1" t="s">
        <v>151</v>
      </c>
      <c r="M95" s="1" t="s">
        <v>80</v>
      </c>
      <c r="N95" s="1" t="s">
        <v>28</v>
      </c>
      <c r="O95" s="1" t="s">
        <v>52</v>
      </c>
      <c r="P95" s="1" t="s">
        <v>244</v>
      </c>
      <c r="Q95" s="4">
        <v>53.34</v>
      </c>
      <c r="R95" s="1">
        <v>3</v>
      </c>
      <c r="S95" s="5">
        <v>0</v>
      </c>
      <c r="T95" s="4">
        <v>16.535399999999999</v>
      </c>
      <c r="U95" s="6" t="str">
        <f t="shared" si="4"/>
        <v>Profit</v>
      </c>
      <c r="V95" s="6" t="str">
        <f t="shared" si="5"/>
        <v>Low Sales</v>
      </c>
    </row>
    <row r="96" spans="1:22" x14ac:dyDescent="0.3">
      <c r="A96" s="1">
        <v>95</v>
      </c>
      <c r="B96" s="2">
        <v>40939</v>
      </c>
      <c r="C96" s="1">
        <v>2012</v>
      </c>
      <c r="D96" s="3" t="s">
        <v>112</v>
      </c>
      <c r="E96" s="2">
        <v>40944</v>
      </c>
      <c r="F96" s="1">
        <f t="shared" si="3"/>
        <v>5</v>
      </c>
      <c r="G96" s="1" t="s">
        <v>21</v>
      </c>
      <c r="H96" s="1" t="s">
        <v>241</v>
      </c>
      <c r="I96" s="1" t="s">
        <v>23</v>
      </c>
      <c r="J96" s="1" t="s">
        <v>24</v>
      </c>
      <c r="K96" s="1" t="s">
        <v>242</v>
      </c>
      <c r="L96" s="1" t="s">
        <v>151</v>
      </c>
      <c r="M96" s="1" t="s">
        <v>80</v>
      </c>
      <c r="N96" s="1" t="s">
        <v>39</v>
      </c>
      <c r="O96" s="1" t="s">
        <v>59</v>
      </c>
      <c r="P96" s="1" t="s">
        <v>245</v>
      </c>
      <c r="Q96" s="4">
        <v>32.96</v>
      </c>
      <c r="R96" s="1">
        <v>2</v>
      </c>
      <c r="S96" s="5">
        <v>0</v>
      </c>
      <c r="T96" s="4">
        <v>16.150400000000001</v>
      </c>
      <c r="U96" s="6" t="str">
        <f t="shared" si="4"/>
        <v>Profit</v>
      </c>
      <c r="V96" s="6" t="str">
        <f t="shared" si="5"/>
        <v>Low Sales</v>
      </c>
    </row>
    <row r="97" spans="1:22" x14ac:dyDescent="0.3">
      <c r="A97" s="1">
        <v>96</v>
      </c>
      <c r="B97" s="2">
        <v>41950</v>
      </c>
      <c r="C97" s="1">
        <v>2014</v>
      </c>
      <c r="D97" s="3" t="s">
        <v>20</v>
      </c>
      <c r="E97" s="2">
        <v>41956</v>
      </c>
      <c r="F97" s="1">
        <f t="shared" si="3"/>
        <v>6</v>
      </c>
      <c r="G97" s="1" t="s">
        <v>43</v>
      </c>
      <c r="H97" s="1" t="s">
        <v>246</v>
      </c>
      <c r="I97" s="1" t="s">
        <v>77</v>
      </c>
      <c r="J97" s="1" t="s">
        <v>24</v>
      </c>
      <c r="K97" s="1" t="s">
        <v>247</v>
      </c>
      <c r="L97" s="1" t="s">
        <v>248</v>
      </c>
      <c r="M97" s="1" t="s">
        <v>38</v>
      </c>
      <c r="N97" s="1" t="s">
        <v>39</v>
      </c>
      <c r="O97" s="1" t="s">
        <v>59</v>
      </c>
      <c r="P97" s="1" t="s">
        <v>249</v>
      </c>
      <c r="Q97" s="4">
        <v>5.6820000000000004</v>
      </c>
      <c r="R97" s="1">
        <v>1</v>
      </c>
      <c r="S97" s="5">
        <v>0.7</v>
      </c>
      <c r="T97" s="4">
        <v>-3.7879999999999998</v>
      </c>
      <c r="U97" s="6" t="str">
        <f t="shared" si="4"/>
        <v>Loss</v>
      </c>
      <c r="V97" s="6" t="str">
        <f t="shared" si="5"/>
        <v>Low Sales</v>
      </c>
    </row>
    <row r="98" spans="1:22" x14ac:dyDescent="0.3">
      <c r="A98" s="1">
        <v>97</v>
      </c>
      <c r="B98" s="2">
        <v>41953</v>
      </c>
      <c r="C98" s="1">
        <v>2014</v>
      </c>
      <c r="D98" s="3" t="s">
        <v>20</v>
      </c>
      <c r="E98" s="2">
        <v>41955</v>
      </c>
      <c r="F98" s="1">
        <f t="shared" si="3"/>
        <v>2</v>
      </c>
      <c r="G98" s="1" t="s">
        <v>21</v>
      </c>
      <c r="H98" s="1" t="s">
        <v>250</v>
      </c>
      <c r="I98" s="1" t="s">
        <v>77</v>
      </c>
      <c r="J98" s="1" t="s">
        <v>24</v>
      </c>
      <c r="K98" s="1" t="s">
        <v>171</v>
      </c>
      <c r="L98" s="1" t="s">
        <v>172</v>
      </c>
      <c r="M98" s="1" t="s">
        <v>107</v>
      </c>
      <c r="N98" s="1" t="s">
        <v>28</v>
      </c>
      <c r="O98" s="1" t="s">
        <v>52</v>
      </c>
      <c r="P98" s="1" t="s">
        <v>251</v>
      </c>
      <c r="Q98" s="4">
        <v>96.53</v>
      </c>
      <c r="R98" s="1">
        <v>7</v>
      </c>
      <c r="S98" s="5">
        <v>0</v>
      </c>
      <c r="T98" s="4">
        <v>40.5426</v>
      </c>
      <c r="U98" s="6" t="str">
        <f t="shared" si="4"/>
        <v>Profit</v>
      </c>
      <c r="V98" s="6" t="str">
        <f t="shared" si="5"/>
        <v>Low Sales</v>
      </c>
    </row>
    <row r="99" spans="1:22" x14ac:dyDescent="0.3">
      <c r="A99" s="1">
        <v>98</v>
      </c>
      <c r="B99" s="2">
        <v>41808</v>
      </c>
      <c r="C99" s="1">
        <v>2014</v>
      </c>
      <c r="D99" s="3" t="s">
        <v>33</v>
      </c>
      <c r="E99" s="2">
        <v>41811</v>
      </c>
      <c r="F99" s="1">
        <f t="shared" si="3"/>
        <v>3</v>
      </c>
      <c r="G99" s="1" t="s">
        <v>129</v>
      </c>
      <c r="H99" s="1" t="s">
        <v>252</v>
      </c>
      <c r="I99" s="1" t="s">
        <v>23</v>
      </c>
      <c r="J99" s="1" t="s">
        <v>24</v>
      </c>
      <c r="K99" s="1" t="s">
        <v>94</v>
      </c>
      <c r="L99" s="1" t="s">
        <v>37</v>
      </c>
      <c r="M99" s="1" t="s">
        <v>38</v>
      </c>
      <c r="N99" s="1" t="s">
        <v>39</v>
      </c>
      <c r="O99" s="1" t="s">
        <v>59</v>
      </c>
      <c r="P99" s="1" t="s">
        <v>253</v>
      </c>
      <c r="Q99" s="4">
        <v>51.311999999999998</v>
      </c>
      <c r="R99" s="1">
        <v>3</v>
      </c>
      <c r="S99" s="5">
        <v>0.2</v>
      </c>
      <c r="T99" s="4">
        <v>17.959199999999999</v>
      </c>
      <c r="U99" s="6" t="str">
        <f t="shared" si="4"/>
        <v>Profit</v>
      </c>
      <c r="V99" s="6" t="str">
        <f t="shared" si="5"/>
        <v>Low Sales</v>
      </c>
    </row>
    <row r="100" spans="1:22" x14ac:dyDescent="0.3">
      <c r="A100" s="1">
        <v>99</v>
      </c>
      <c r="B100" s="2">
        <v>41524</v>
      </c>
      <c r="C100" s="1">
        <v>2013</v>
      </c>
      <c r="D100" s="3" t="s">
        <v>109</v>
      </c>
      <c r="E100" s="2">
        <v>41529</v>
      </c>
      <c r="F100" s="1">
        <f t="shared" si="3"/>
        <v>5</v>
      </c>
      <c r="G100" s="1" t="s">
        <v>43</v>
      </c>
      <c r="H100" s="1" t="s">
        <v>254</v>
      </c>
      <c r="I100" s="1" t="s">
        <v>35</v>
      </c>
      <c r="J100" s="1" t="s">
        <v>24</v>
      </c>
      <c r="K100" s="1" t="s">
        <v>255</v>
      </c>
      <c r="L100" s="1" t="s">
        <v>151</v>
      </c>
      <c r="M100" s="1" t="s">
        <v>80</v>
      </c>
      <c r="N100" s="1" t="s">
        <v>39</v>
      </c>
      <c r="O100" s="1" t="s">
        <v>61</v>
      </c>
      <c r="P100" s="1" t="s">
        <v>256</v>
      </c>
      <c r="Q100" s="4">
        <v>77.88</v>
      </c>
      <c r="R100" s="1">
        <v>6</v>
      </c>
      <c r="S100" s="5">
        <v>0</v>
      </c>
      <c r="T100" s="4">
        <v>22.5852</v>
      </c>
      <c r="U100" s="6" t="str">
        <f t="shared" si="4"/>
        <v>Profit</v>
      </c>
      <c r="V100" s="6" t="str">
        <f t="shared" si="5"/>
        <v>Low Sales</v>
      </c>
    </row>
    <row r="101" spans="1:22" x14ac:dyDescent="0.3">
      <c r="A101" s="1">
        <v>100</v>
      </c>
      <c r="B101" s="2">
        <v>41516</v>
      </c>
      <c r="C101" s="1">
        <v>2013</v>
      </c>
      <c r="D101" s="3" t="s">
        <v>92</v>
      </c>
      <c r="E101" s="2">
        <v>41520</v>
      </c>
      <c r="F101" s="1">
        <f t="shared" si="3"/>
        <v>4</v>
      </c>
      <c r="G101" s="1" t="s">
        <v>43</v>
      </c>
      <c r="H101" s="1" t="s">
        <v>257</v>
      </c>
      <c r="I101" s="1" t="s">
        <v>77</v>
      </c>
      <c r="J101" s="1" t="s">
        <v>24</v>
      </c>
      <c r="K101" s="1" t="s">
        <v>190</v>
      </c>
      <c r="L101" s="1" t="s">
        <v>141</v>
      </c>
      <c r="M101" s="1" t="s">
        <v>80</v>
      </c>
      <c r="N101" s="1" t="s">
        <v>39</v>
      </c>
      <c r="O101" s="1" t="s">
        <v>69</v>
      </c>
      <c r="P101" s="1" t="s">
        <v>258</v>
      </c>
      <c r="Q101" s="4">
        <v>64.623999999999995</v>
      </c>
      <c r="R101" s="1">
        <v>7</v>
      </c>
      <c r="S101" s="5">
        <v>0.2</v>
      </c>
      <c r="T101" s="4">
        <v>22.618400000000001</v>
      </c>
      <c r="U101" s="6" t="str">
        <f t="shared" si="4"/>
        <v>Profit</v>
      </c>
      <c r="V101" s="6" t="str">
        <f t="shared" si="5"/>
        <v>Low Sales</v>
      </c>
    </row>
    <row r="102" spans="1:22" x14ac:dyDescent="0.3">
      <c r="A102" s="1">
        <v>101</v>
      </c>
      <c r="B102" s="2">
        <v>41516</v>
      </c>
      <c r="C102" s="1">
        <v>2013</v>
      </c>
      <c r="D102" s="3" t="s">
        <v>92</v>
      </c>
      <c r="E102" s="2">
        <v>41520</v>
      </c>
      <c r="F102" s="1">
        <f t="shared" si="3"/>
        <v>4</v>
      </c>
      <c r="G102" s="1" t="s">
        <v>43</v>
      </c>
      <c r="H102" s="1" t="s">
        <v>257</v>
      </c>
      <c r="I102" s="1" t="s">
        <v>77</v>
      </c>
      <c r="J102" s="1" t="s">
        <v>24</v>
      </c>
      <c r="K102" s="1" t="s">
        <v>190</v>
      </c>
      <c r="L102" s="1" t="s">
        <v>141</v>
      </c>
      <c r="M102" s="1" t="s">
        <v>80</v>
      </c>
      <c r="N102" s="1" t="s">
        <v>56</v>
      </c>
      <c r="O102" s="1" t="s">
        <v>115</v>
      </c>
      <c r="P102" s="1" t="s">
        <v>259</v>
      </c>
      <c r="Q102" s="4">
        <v>95.975999999999999</v>
      </c>
      <c r="R102" s="1">
        <v>3</v>
      </c>
      <c r="S102" s="5">
        <v>0.2</v>
      </c>
      <c r="T102" s="4">
        <v>-10.7973</v>
      </c>
      <c r="U102" s="6" t="str">
        <f t="shared" si="4"/>
        <v>Loss</v>
      </c>
      <c r="V102" s="6" t="str">
        <f t="shared" si="5"/>
        <v>Low Sales</v>
      </c>
    </row>
    <row r="103" spans="1:22" x14ac:dyDescent="0.3">
      <c r="A103" s="1">
        <v>102</v>
      </c>
      <c r="B103" s="2">
        <v>41516</v>
      </c>
      <c r="C103" s="1">
        <v>2013</v>
      </c>
      <c r="D103" s="3" t="s">
        <v>92</v>
      </c>
      <c r="E103" s="2">
        <v>41520</v>
      </c>
      <c r="F103" s="1">
        <f t="shared" si="3"/>
        <v>4</v>
      </c>
      <c r="G103" s="1" t="s">
        <v>43</v>
      </c>
      <c r="H103" s="1" t="s">
        <v>257</v>
      </c>
      <c r="I103" s="1" t="s">
        <v>77</v>
      </c>
      <c r="J103" s="1" t="s">
        <v>24</v>
      </c>
      <c r="K103" s="1" t="s">
        <v>190</v>
      </c>
      <c r="L103" s="1" t="s">
        <v>141</v>
      </c>
      <c r="M103" s="1" t="s">
        <v>80</v>
      </c>
      <c r="N103" s="1" t="s">
        <v>39</v>
      </c>
      <c r="O103" s="1" t="s">
        <v>59</v>
      </c>
      <c r="P103" s="1" t="s">
        <v>260</v>
      </c>
      <c r="Q103" s="4">
        <v>1.788</v>
      </c>
      <c r="R103" s="1">
        <v>3</v>
      </c>
      <c r="S103" s="5">
        <v>0.8</v>
      </c>
      <c r="T103" s="4">
        <v>-3.0396000000000001</v>
      </c>
      <c r="U103" s="6" t="str">
        <f t="shared" si="4"/>
        <v>Loss</v>
      </c>
      <c r="V103" s="6" t="str">
        <f t="shared" si="5"/>
        <v>Low Sales</v>
      </c>
    </row>
    <row r="104" spans="1:22" x14ac:dyDescent="0.3">
      <c r="A104" s="1">
        <v>103</v>
      </c>
      <c r="B104" s="2">
        <v>41610</v>
      </c>
      <c r="C104" s="1">
        <v>2013</v>
      </c>
      <c r="D104" s="3" t="s">
        <v>71</v>
      </c>
      <c r="E104" s="2">
        <v>41613</v>
      </c>
      <c r="F104" s="1">
        <f t="shared" si="3"/>
        <v>3</v>
      </c>
      <c r="G104" s="1" t="s">
        <v>21</v>
      </c>
      <c r="H104" s="1" t="s">
        <v>261</v>
      </c>
      <c r="I104" s="1" t="s">
        <v>23</v>
      </c>
      <c r="J104" s="1" t="s">
        <v>24</v>
      </c>
      <c r="K104" s="1" t="s">
        <v>233</v>
      </c>
      <c r="L104" s="1" t="s">
        <v>151</v>
      </c>
      <c r="M104" s="1" t="s">
        <v>80</v>
      </c>
      <c r="N104" s="1" t="s">
        <v>39</v>
      </c>
      <c r="O104" s="1" t="s">
        <v>69</v>
      </c>
      <c r="P104" s="1" t="s">
        <v>262</v>
      </c>
      <c r="Q104" s="4">
        <v>23.92</v>
      </c>
      <c r="R104" s="1">
        <v>4</v>
      </c>
      <c r="S104" s="5">
        <v>0</v>
      </c>
      <c r="T104" s="4">
        <v>11.720800000000001</v>
      </c>
      <c r="U104" s="6" t="str">
        <f t="shared" si="4"/>
        <v>Profit</v>
      </c>
      <c r="V104" s="6" t="str">
        <f t="shared" si="5"/>
        <v>Low Sales</v>
      </c>
    </row>
    <row r="105" spans="1:22" x14ac:dyDescent="0.3">
      <c r="A105" s="1">
        <v>104</v>
      </c>
      <c r="B105" s="2">
        <v>41226</v>
      </c>
      <c r="C105" s="1">
        <v>2012</v>
      </c>
      <c r="D105" s="3" t="s">
        <v>20</v>
      </c>
      <c r="E105" s="2">
        <v>41230</v>
      </c>
      <c r="F105" s="1">
        <f t="shared" si="3"/>
        <v>4</v>
      </c>
      <c r="G105" s="1" t="s">
        <v>43</v>
      </c>
      <c r="H105" s="1" t="s">
        <v>263</v>
      </c>
      <c r="I105" s="1" t="s">
        <v>23</v>
      </c>
      <c r="J105" s="1" t="s">
        <v>24</v>
      </c>
      <c r="K105" s="1" t="s">
        <v>264</v>
      </c>
      <c r="L105" s="1" t="s">
        <v>265</v>
      </c>
      <c r="M105" s="1" t="s">
        <v>38</v>
      </c>
      <c r="N105" s="1" t="s">
        <v>56</v>
      </c>
      <c r="O105" s="1" t="s">
        <v>115</v>
      </c>
      <c r="P105" s="1" t="s">
        <v>266</v>
      </c>
      <c r="Q105" s="4">
        <v>238.89599999999999</v>
      </c>
      <c r="R105" s="1">
        <v>6</v>
      </c>
      <c r="S105" s="5">
        <v>0.2</v>
      </c>
      <c r="T105" s="4">
        <v>-26.875800000000002</v>
      </c>
      <c r="U105" s="6" t="str">
        <f t="shared" si="4"/>
        <v>Loss</v>
      </c>
      <c r="V105" s="6" t="str">
        <f t="shared" si="5"/>
        <v>Low Sales</v>
      </c>
    </row>
    <row r="106" spans="1:22" x14ac:dyDescent="0.3">
      <c r="A106" s="1">
        <v>105</v>
      </c>
      <c r="B106" s="2">
        <v>41226</v>
      </c>
      <c r="C106" s="1">
        <v>2012</v>
      </c>
      <c r="D106" s="3" t="s">
        <v>20</v>
      </c>
      <c r="E106" s="2">
        <v>41230</v>
      </c>
      <c r="F106" s="1">
        <f t="shared" si="3"/>
        <v>4</v>
      </c>
      <c r="G106" s="1" t="s">
        <v>43</v>
      </c>
      <c r="H106" s="1" t="s">
        <v>263</v>
      </c>
      <c r="I106" s="1" t="s">
        <v>23</v>
      </c>
      <c r="J106" s="1" t="s">
        <v>24</v>
      </c>
      <c r="K106" s="1" t="s">
        <v>264</v>
      </c>
      <c r="L106" s="1" t="s">
        <v>265</v>
      </c>
      <c r="M106" s="1" t="s">
        <v>38</v>
      </c>
      <c r="N106" s="1" t="s">
        <v>28</v>
      </c>
      <c r="O106" s="1" t="s">
        <v>52</v>
      </c>
      <c r="P106" s="1" t="s">
        <v>267</v>
      </c>
      <c r="Q106" s="4">
        <v>102.36</v>
      </c>
      <c r="R106" s="1">
        <v>3</v>
      </c>
      <c r="S106" s="5">
        <v>0.2</v>
      </c>
      <c r="T106" s="4">
        <v>-3.8384999999999998</v>
      </c>
      <c r="U106" s="6" t="str">
        <f t="shared" si="4"/>
        <v>Loss</v>
      </c>
      <c r="V106" s="6" t="str">
        <f t="shared" si="5"/>
        <v>Low Sales</v>
      </c>
    </row>
    <row r="107" spans="1:22" x14ac:dyDescent="0.3">
      <c r="A107" s="1">
        <v>106</v>
      </c>
      <c r="B107" s="2">
        <v>41226</v>
      </c>
      <c r="C107" s="1">
        <v>2012</v>
      </c>
      <c r="D107" s="3" t="s">
        <v>20</v>
      </c>
      <c r="E107" s="2">
        <v>41230</v>
      </c>
      <c r="F107" s="1">
        <f t="shared" si="3"/>
        <v>4</v>
      </c>
      <c r="G107" s="1" t="s">
        <v>43</v>
      </c>
      <c r="H107" s="1" t="s">
        <v>263</v>
      </c>
      <c r="I107" s="1" t="s">
        <v>23</v>
      </c>
      <c r="J107" s="1" t="s">
        <v>24</v>
      </c>
      <c r="K107" s="1" t="s">
        <v>264</v>
      </c>
      <c r="L107" s="1" t="s">
        <v>265</v>
      </c>
      <c r="M107" s="1" t="s">
        <v>38</v>
      </c>
      <c r="N107" s="1" t="s">
        <v>39</v>
      </c>
      <c r="O107" s="1" t="s">
        <v>59</v>
      </c>
      <c r="P107" s="1" t="s">
        <v>268</v>
      </c>
      <c r="Q107" s="4">
        <v>36.881999999999998</v>
      </c>
      <c r="R107" s="1">
        <v>3</v>
      </c>
      <c r="S107" s="5">
        <v>0.7</v>
      </c>
      <c r="T107" s="4">
        <v>-25.817399999999999</v>
      </c>
      <c r="U107" s="6" t="str">
        <f t="shared" si="4"/>
        <v>Loss</v>
      </c>
      <c r="V107" s="6" t="str">
        <f t="shared" si="5"/>
        <v>Low Sales</v>
      </c>
    </row>
    <row r="108" spans="1:22" x14ac:dyDescent="0.3">
      <c r="A108" s="1">
        <v>107</v>
      </c>
      <c r="B108" s="2">
        <v>41967</v>
      </c>
      <c r="C108" s="1">
        <v>2014</v>
      </c>
      <c r="D108" s="3" t="s">
        <v>20</v>
      </c>
      <c r="E108" s="2">
        <v>41972</v>
      </c>
      <c r="F108" s="1">
        <f t="shared" si="3"/>
        <v>5</v>
      </c>
      <c r="G108" s="1" t="s">
        <v>43</v>
      </c>
      <c r="H108" s="1" t="s">
        <v>269</v>
      </c>
      <c r="I108" s="1" t="s">
        <v>23</v>
      </c>
      <c r="J108" s="1" t="s">
        <v>24</v>
      </c>
      <c r="K108" s="1" t="s">
        <v>270</v>
      </c>
      <c r="L108" s="1" t="s">
        <v>68</v>
      </c>
      <c r="M108" s="1" t="s">
        <v>27</v>
      </c>
      <c r="N108" s="1" t="s">
        <v>56</v>
      </c>
      <c r="O108" s="1" t="s">
        <v>115</v>
      </c>
      <c r="P108" s="1" t="s">
        <v>271</v>
      </c>
      <c r="Q108" s="4">
        <v>74.111999999999995</v>
      </c>
      <c r="R108" s="1">
        <v>8</v>
      </c>
      <c r="S108" s="5">
        <v>0.2</v>
      </c>
      <c r="T108" s="4">
        <v>17.601600000000001</v>
      </c>
      <c r="U108" s="6" t="str">
        <f t="shared" si="4"/>
        <v>Profit</v>
      </c>
      <c r="V108" s="6" t="str">
        <f t="shared" si="5"/>
        <v>Low Sales</v>
      </c>
    </row>
    <row r="109" spans="1:22" x14ac:dyDescent="0.3">
      <c r="A109" s="1">
        <v>108</v>
      </c>
      <c r="B109" s="2">
        <v>41967</v>
      </c>
      <c r="C109" s="1">
        <v>2014</v>
      </c>
      <c r="D109" s="3" t="s">
        <v>20</v>
      </c>
      <c r="E109" s="2">
        <v>41972</v>
      </c>
      <c r="F109" s="1">
        <f t="shared" si="3"/>
        <v>5</v>
      </c>
      <c r="G109" s="1" t="s">
        <v>43</v>
      </c>
      <c r="H109" s="1" t="s">
        <v>269</v>
      </c>
      <c r="I109" s="1" t="s">
        <v>23</v>
      </c>
      <c r="J109" s="1" t="s">
        <v>24</v>
      </c>
      <c r="K109" s="1" t="s">
        <v>270</v>
      </c>
      <c r="L109" s="1" t="s">
        <v>68</v>
      </c>
      <c r="M109" s="1" t="s">
        <v>27</v>
      </c>
      <c r="N109" s="1" t="s">
        <v>56</v>
      </c>
      <c r="O109" s="1" t="s">
        <v>57</v>
      </c>
      <c r="P109" s="1" t="s">
        <v>272</v>
      </c>
      <c r="Q109" s="4">
        <v>27.992000000000001</v>
      </c>
      <c r="R109" s="1">
        <v>1</v>
      </c>
      <c r="S109" s="5">
        <v>0.2</v>
      </c>
      <c r="T109" s="4">
        <v>2.0994000000000002</v>
      </c>
      <c r="U109" s="6" t="str">
        <f t="shared" si="4"/>
        <v>Profit</v>
      </c>
      <c r="V109" s="6" t="str">
        <f t="shared" si="5"/>
        <v>Low Sales</v>
      </c>
    </row>
    <row r="110" spans="1:22" x14ac:dyDescent="0.3">
      <c r="A110" s="1">
        <v>109</v>
      </c>
      <c r="B110" s="2">
        <v>41967</v>
      </c>
      <c r="C110" s="1">
        <v>2014</v>
      </c>
      <c r="D110" s="3" t="s">
        <v>20</v>
      </c>
      <c r="E110" s="2">
        <v>41972</v>
      </c>
      <c r="F110" s="1">
        <f t="shared" si="3"/>
        <v>5</v>
      </c>
      <c r="G110" s="1" t="s">
        <v>43</v>
      </c>
      <c r="H110" s="1" t="s">
        <v>269</v>
      </c>
      <c r="I110" s="1" t="s">
        <v>23</v>
      </c>
      <c r="J110" s="1" t="s">
        <v>24</v>
      </c>
      <c r="K110" s="1" t="s">
        <v>270</v>
      </c>
      <c r="L110" s="1" t="s">
        <v>68</v>
      </c>
      <c r="M110" s="1" t="s">
        <v>27</v>
      </c>
      <c r="N110" s="1" t="s">
        <v>39</v>
      </c>
      <c r="O110" s="1" t="s">
        <v>54</v>
      </c>
      <c r="P110" s="1" t="s">
        <v>273</v>
      </c>
      <c r="Q110" s="4">
        <v>3.3039999999999998</v>
      </c>
      <c r="R110" s="1">
        <v>1</v>
      </c>
      <c r="S110" s="5">
        <v>0.2</v>
      </c>
      <c r="T110" s="4">
        <v>1.0738000000000001</v>
      </c>
      <c r="U110" s="6" t="str">
        <f t="shared" si="4"/>
        <v>Profit</v>
      </c>
      <c r="V110" s="6" t="str">
        <f t="shared" si="5"/>
        <v>Low Sales</v>
      </c>
    </row>
    <row r="111" spans="1:22" x14ac:dyDescent="0.3">
      <c r="A111" s="1">
        <v>110</v>
      </c>
      <c r="B111" s="2">
        <v>41197</v>
      </c>
      <c r="C111" s="1">
        <v>2012</v>
      </c>
      <c r="D111" s="3" t="s">
        <v>42</v>
      </c>
      <c r="E111" s="2">
        <v>41202</v>
      </c>
      <c r="F111" s="1">
        <f t="shared" si="3"/>
        <v>5</v>
      </c>
      <c r="G111" s="1" t="s">
        <v>43</v>
      </c>
      <c r="H111" s="1" t="s">
        <v>274</v>
      </c>
      <c r="I111" s="1" t="s">
        <v>77</v>
      </c>
      <c r="J111" s="1" t="s">
        <v>24</v>
      </c>
      <c r="K111" s="1" t="s">
        <v>275</v>
      </c>
      <c r="L111" s="1" t="s">
        <v>141</v>
      </c>
      <c r="M111" s="1" t="s">
        <v>80</v>
      </c>
      <c r="N111" s="1" t="s">
        <v>56</v>
      </c>
      <c r="O111" s="1" t="s">
        <v>115</v>
      </c>
      <c r="P111" s="1" t="s">
        <v>276</v>
      </c>
      <c r="Q111" s="4">
        <v>339.96</v>
      </c>
      <c r="R111" s="1">
        <v>5</v>
      </c>
      <c r="S111" s="5">
        <v>0.2</v>
      </c>
      <c r="T111" s="4">
        <v>67.992000000000004</v>
      </c>
      <c r="U111" s="6" t="str">
        <f t="shared" si="4"/>
        <v>Profit</v>
      </c>
      <c r="V111" s="6" t="str">
        <f t="shared" si="5"/>
        <v>Low Sales</v>
      </c>
    </row>
    <row r="112" spans="1:22" x14ac:dyDescent="0.3">
      <c r="A112" s="1">
        <v>111</v>
      </c>
      <c r="B112" s="2">
        <v>41999</v>
      </c>
      <c r="C112" s="1">
        <v>2014</v>
      </c>
      <c r="D112" s="3" t="s">
        <v>71</v>
      </c>
      <c r="E112" s="2">
        <v>42004</v>
      </c>
      <c r="F112" s="1">
        <f t="shared" si="3"/>
        <v>5</v>
      </c>
      <c r="G112" s="1" t="s">
        <v>43</v>
      </c>
      <c r="H112" s="1" t="s">
        <v>277</v>
      </c>
      <c r="I112" s="1" t="s">
        <v>35</v>
      </c>
      <c r="J112" s="1" t="s">
        <v>24</v>
      </c>
      <c r="K112" s="1" t="s">
        <v>171</v>
      </c>
      <c r="L112" s="1" t="s">
        <v>172</v>
      </c>
      <c r="M112" s="1" t="s">
        <v>107</v>
      </c>
      <c r="N112" s="1" t="s">
        <v>28</v>
      </c>
      <c r="O112" s="1" t="s">
        <v>52</v>
      </c>
      <c r="P112" s="1" t="s">
        <v>278</v>
      </c>
      <c r="Q112" s="4">
        <v>41.96</v>
      </c>
      <c r="R112" s="1">
        <v>2</v>
      </c>
      <c r="S112" s="5">
        <v>0</v>
      </c>
      <c r="T112" s="4">
        <v>10.909599999999999</v>
      </c>
      <c r="U112" s="6" t="str">
        <f t="shared" si="4"/>
        <v>Profit</v>
      </c>
      <c r="V112" s="6" t="str">
        <f t="shared" si="5"/>
        <v>Low Sales</v>
      </c>
    </row>
    <row r="113" spans="1:22" x14ac:dyDescent="0.3">
      <c r="A113" s="1">
        <v>112</v>
      </c>
      <c r="B113" s="2">
        <v>41582</v>
      </c>
      <c r="C113" s="1">
        <v>2013</v>
      </c>
      <c r="D113" s="3" t="s">
        <v>20</v>
      </c>
      <c r="E113" s="2">
        <v>41589</v>
      </c>
      <c r="F113" s="1">
        <f t="shared" si="3"/>
        <v>7</v>
      </c>
      <c r="G113" s="1" t="s">
        <v>43</v>
      </c>
      <c r="H113" s="1" t="s">
        <v>279</v>
      </c>
      <c r="I113" s="1" t="s">
        <v>23</v>
      </c>
      <c r="J113" s="1" t="s">
        <v>24</v>
      </c>
      <c r="K113" s="1" t="s">
        <v>280</v>
      </c>
      <c r="L113" s="1" t="s">
        <v>281</v>
      </c>
      <c r="M113" s="1" t="s">
        <v>80</v>
      </c>
      <c r="N113" s="1" t="s">
        <v>39</v>
      </c>
      <c r="O113" s="1" t="s">
        <v>54</v>
      </c>
      <c r="P113" s="1" t="s">
        <v>282</v>
      </c>
      <c r="Q113" s="4">
        <v>75.959999999999994</v>
      </c>
      <c r="R113" s="1">
        <v>2</v>
      </c>
      <c r="S113" s="5">
        <v>0</v>
      </c>
      <c r="T113" s="4">
        <v>22.788</v>
      </c>
      <c r="U113" s="6" t="str">
        <f t="shared" si="4"/>
        <v>Profit</v>
      </c>
      <c r="V113" s="6" t="str">
        <f t="shared" si="5"/>
        <v>Low Sales</v>
      </c>
    </row>
    <row r="114" spans="1:22" x14ac:dyDescent="0.3">
      <c r="A114" s="1">
        <v>113</v>
      </c>
      <c r="B114" s="2">
        <v>41582</v>
      </c>
      <c r="C114" s="1">
        <v>2013</v>
      </c>
      <c r="D114" s="3" t="s">
        <v>20</v>
      </c>
      <c r="E114" s="2">
        <v>41589</v>
      </c>
      <c r="F114" s="1">
        <f t="shared" si="3"/>
        <v>7</v>
      </c>
      <c r="G114" s="1" t="s">
        <v>43</v>
      </c>
      <c r="H114" s="1" t="s">
        <v>279</v>
      </c>
      <c r="I114" s="1" t="s">
        <v>23</v>
      </c>
      <c r="J114" s="1" t="s">
        <v>24</v>
      </c>
      <c r="K114" s="1" t="s">
        <v>280</v>
      </c>
      <c r="L114" s="1" t="s">
        <v>281</v>
      </c>
      <c r="M114" s="1" t="s">
        <v>80</v>
      </c>
      <c r="N114" s="1" t="s">
        <v>39</v>
      </c>
      <c r="O114" s="1" t="s">
        <v>59</v>
      </c>
      <c r="P114" s="1" t="s">
        <v>283</v>
      </c>
      <c r="Q114" s="4">
        <v>27.24</v>
      </c>
      <c r="R114" s="1">
        <v>6</v>
      </c>
      <c r="S114" s="5">
        <v>0</v>
      </c>
      <c r="T114" s="4">
        <v>13.3476</v>
      </c>
      <c r="U114" s="6" t="str">
        <f t="shared" si="4"/>
        <v>Profit</v>
      </c>
      <c r="V114" s="6" t="str">
        <f t="shared" si="5"/>
        <v>Low Sales</v>
      </c>
    </row>
    <row r="115" spans="1:22" x14ac:dyDescent="0.3">
      <c r="A115" s="1">
        <v>114</v>
      </c>
      <c r="B115" s="2">
        <v>40780</v>
      </c>
      <c r="C115" s="1">
        <v>2011</v>
      </c>
      <c r="D115" s="3" t="s">
        <v>92</v>
      </c>
      <c r="E115" s="2">
        <v>40782</v>
      </c>
      <c r="F115" s="1">
        <f t="shared" si="3"/>
        <v>2</v>
      </c>
      <c r="G115" s="1" t="s">
        <v>21</v>
      </c>
      <c r="H115" s="1" t="s">
        <v>284</v>
      </c>
      <c r="I115" s="1" t="s">
        <v>23</v>
      </c>
      <c r="J115" s="1" t="s">
        <v>24</v>
      </c>
      <c r="K115" s="1" t="s">
        <v>285</v>
      </c>
      <c r="L115" s="1" t="s">
        <v>286</v>
      </c>
      <c r="M115" s="1" t="s">
        <v>107</v>
      </c>
      <c r="N115" s="1" t="s">
        <v>39</v>
      </c>
      <c r="O115" s="1" t="s">
        <v>173</v>
      </c>
      <c r="P115" s="1" t="s">
        <v>287</v>
      </c>
      <c r="Q115" s="4">
        <v>40.095999999999997</v>
      </c>
      <c r="R115" s="1">
        <v>14</v>
      </c>
      <c r="S115" s="5">
        <v>0.2</v>
      </c>
      <c r="T115" s="4">
        <v>14.534800000000001</v>
      </c>
      <c r="U115" s="6" t="str">
        <f t="shared" si="4"/>
        <v>Profit</v>
      </c>
      <c r="V115" s="6" t="str">
        <f t="shared" si="5"/>
        <v>Low Sales</v>
      </c>
    </row>
    <row r="116" spans="1:22" x14ac:dyDescent="0.3">
      <c r="A116" s="1">
        <v>115</v>
      </c>
      <c r="B116" s="2">
        <v>40780</v>
      </c>
      <c r="C116" s="1">
        <v>2011</v>
      </c>
      <c r="D116" s="3" t="s">
        <v>92</v>
      </c>
      <c r="E116" s="2">
        <v>40782</v>
      </c>
      <c r="F116" s="1">
        <f t="shared" si="3"/>
        <v>2</v>
      </c>
      <c r="G116" s="1" t="s">
        <v>21</v>
      </c>
      <c r="H116" s="1" t="s">
        <v>284</v>
      </c>
      <c r="I116" s="1" t="s">
        <v>23</v>
      </c>
      <c r="J116" s="1" t="s">
        <v>24</v>
      </c>
      <c r="K116" s="1" t="s">
        <v>285</v>
      </c>
      <c r="L116" s="1" t="s">
        <v>286</v>
      </c>
      <c r="M116" s="1" t="s">
        <v>107</v>
      </c>
      <c r="N116" s="1" t="s">
        <v>39</v>
      </c>
      <c r="O116" s="1" t="s">
        <v>121</v>
      </c>
      <c r="P116" s="1" t="s">
        <v>288</v>
      </c>
      <c r="Q116" s="4">
        <v>4.72</v>
      </c>
      <c r="R116" s="1">
        <v>2</v>
      </c>
      <c r="S116" s="5">
        <v>0.2</v>
      </c>
      <c r="T116" s="4">
        <v>1.6519999999999999</v>
      </c>
      <c r="U116" s="6" t="str">
        <f t="shared" si="4"/>
        <v>Profit</v>
      </c>
      <c r="V116" s="6" t="str">
        <f t="shared" si="5"/>
        <v>Low Sales</v>
      </c>
    </row>
    <row r="117" spans="1:22" x14ac:dyDescent="0.3">
      <c r="A117" s="1">
        <v>116</v>
      </c>
      <c r="B117" s="2">
        <v>40780</v>
      </c>
      <c r="C117" s="1">
        <v>2011</v>
      </c>
      <c r="D117" s="3" t="s">
        <v>92</v>
      </c>
      <c r="E117" s="2">
        <v>40782</v>
      </c>
      <c r="F117" s="1">
        <f t="shared" si="3"/>
        <v>2</v>
      </c>
      <c r="G117" s="1" t="s">
        <v>21</v>
      </c>
      <c r="H117" s="1" t="s">
        <v>284</v>
      </c>
      <c r="I117" s="1" t="s">
        <v>23</v>
      </c>
      <c r="J117" s="1" t="s">
        <v>24</v>
      </c>
      <c r="K117" s="1" t="s">
        <v>285</v>
      </c>
      <c r="L117" s="1" t="s">
        <v>286</v>
      </c>
      <c r="M117" s="1" t="s">
        <v>107</v>
      </c>
      <c r="N117" s="1" t="s">
        <v>39</v>
      </c>
      <c r="O117" s="1" t="s">
        <v>69</v>
      </c>
      <c r="P117" s="1" t="s">
        <v>289</v>
      </c>
      <c r="Q117" s="4">
        <v>23.975999999999999</v>
      </c>
      <c r="R117" s="1">
        <v>3</v>
      </c>
      <c r="S117" s="5">
        <v>0.2</v>
      </c>
      <c r="T117" s="4">
        <v>7.4924999999999997</v>
      </c>
      <c r="U117" s="6" t="str">
        <f t="shared" si="4"/>
        <v>Profit</v>
      </c>
      <c r="V117" s="6" t="str">
        <f t="shared" si="5"/>
        <v>Low Sales</v>
      </c>
    </row>
    <row r="118" spans="1:22" x14ac:dyDescent="0.3">
      <c r="A118" s="1">
        <v>117</v>
      </c>
      <c r="B118" s="2">
        <v>40780</v>
      </c>
      <c r="C118" s="1">
        <v>2011</v>
      </c>
      <c r="D118" s="3" t="s">
        <v>92</v>
      </c>
      <c r="E118" s="2">
        <v>40782</v>
      </c>
      <c r="F118" s="1">
        <f t="shared" si="3"/>
        <v>2</v>
      </c>
      <c r="G118" s="1" t="s">
        <v>21</v>
      </c>
      <c r="H118" s="1" t="s">
        <v>284</v>
      </c>
      <c r="I118" s="1" t="s">
        <v>23</v>
      </c>
      <c r="J118" s="1" t="s">
        <v>24</v>
      </c>
      <c r="K118" s="1" t="s">
        <v>285</v>
      </c>
      <c r="L118" s="1" t="s">
        <v>286</v>
      </c>
      <c r="M118" s="1" t="s">
        <v>107</v>
      </c>
      <c r="N118" s="1" t="s">
        <v>39</v>
      </c>
      <c r="O118" s="1" t="s">
        <v>121</v>
      </c>
      <c r="P118" s="1" t="s">
        <v>290</v>
      </c>
      <c r="Q118" s="4">
        <v>130.464</v>
      </c>
      <c r="R118" s="1">
        <v>6</v>
      </c>
      <c r="S118" s="5">
        <v>0.2</v>
      </c>
      <c r="T118" s="4">
        <v>44.031599999999997</v>
      </c>
      <c r="U118" s="6" t="str">
        <f t="shared" si="4"/>
        <v>Profit</v>
      </c>
      <c r="V118" s="6" t="str">
        <f t="shared" si="5"/>
        <v>Low Sales</v>
      </c>
    </row>
    <row r="119" spans="1:22" x14ac:dyDescent="0.3">
      <c r="A119" s="1">
        <v>118</v>
      </c>
      <c r="B119" s="2">
        <v>40970</v>
      </c>
      <c r="C119" s="1">
        <v>2012</v>
      </c>
      <c r="D119" s="3" t="s">
        <v>148</v>
      </c>
      <c r="E119" s="2">
        <v>40974</v>
      </c>
      <c r="F119" s="1">
        <f t="shared" si="3"/>
        <v>4</v>
      </c>
      <c r="G119" s="1" t="s">
        <v>43</v>
      </c>
      <c r="H119" s="1" t="s">
        <v>291</v>
      </c>
      <c r="I119" s="1" t="s">
        <v>23</v>
      </c>
      <c r="J119" s="1" t="s">
        <v>24</v>
      </c>
      <c r="K119" s="1" t="s">
        <v>73</v>
      </c>
      <c r="L119" s="1" t="s">
        <v>74</v>
      </c>
      <c r="M119" s="1" t="s">
        <v>38</v>
      </c>
      <c r="N119" s="1" t="s">
        <v>28</v>
      </c>
      <c r="O119" s="1" t="s">
        <v>47</v>
      </c>
      <c r="P119" s="1" t="s">
        <v>292</v>
      </c>
      <c r="Q119" s="4">
        <v>787.53</v>
      </c>
      <c r="R119" s="1">
        <v>3</v>
      </c>
      <c r="S119" s="5">
        <v>0</v>
      </c>
      <c r="T119" s="4">
        <v>165.38130000000001</v>
      </c>
      <c r="U119" s="6" t="str">
        <f t="shared" si="4"/>
        <v>Profit</v>
      </c>
      <c r="V119" s="6" t="str">
        <f t="shared" si="5"/>
        <v>Medium Sales</v>
      </c>
    </row>
    <row r="120" spans="1:22" x14ac:dyDescent="0.3">
      <c r="A120" s="1">
        <v>119</v>
      </c>
      <c r="B120" s="2">
        <v>41004</v>
      </c>
      <c r="C120" s="1">
        <v>2012</v>
      </c>
      <c r="D120" s="3" t="s">
        <v>65</v>
      </c>
      <c r="E120" s="2">
        <v>41009</v>
      </c>
      <c r="F120" s="1">
        <f t="shared" si="3"/>
        <v>5</v>
      </c>
      <c r="G120" s="1" t="s">
        <v>43</v>
      </c>
      <c r="H120" s="1" t="s">
        <v>293</v>
      </c>
      <c r="I120" s="1" t="s">
        <v>35</v>
      </c>
      <c r="J120" s="1" t="s">
        <v>24</v>
      </c>
      <c r="K120" s="1" t="s">
        <v>294</v>
      </c>
      <c r="L120" s="1" t="s">
        <v>207</v>
      </c>
      <c r="M120" s="1" t="s">
        <v>27</v>
      </c>
      <c r="N120" s="1" t="s">
        <v>39</v>
      </c>
      <c r="O120" s="1" t="s">
        <v>59</v>
      </c>
      <c r="P120" s="1" t="s">
        <v>295</v>
      </c>
      <c r="Q120" s="4">
        <v>157.79400000000001</v>
      </c>
      <c r="R120" s="1">
        <v>1</v>
      </c>
      <c r="S120" s="5">
        <v>0.7</v>
      </c>
      <c r="T120" s="4">
        <v>-115.71559999999999</v>
      </c>
      <c r="U120" s="6" t="str">
        <f t="shared" si="4"/>
        <v>Loss</v>
      </c>
      <c r="V120" s="6" t="str">
        <f t="shared" si="5"/>
        <v>Low Sales</v>
      </c>
    </row>
    <row r="121" spans="1:22" x14ac:dyDescent="0.3">
      <c r="A121" s="1">
        <v>120</v>
      </c>
      <c r="B121" s="2">
        <v>41438</v>
      </c>
      <c r="C121" s="1">
        <v>2013</v>
      </c>
      <c r="D121" s="3" t="s">
        <v>33</v>
      </c>
      <c r="E121" s="2">
        <v>41441</v>
      </c>
      <c r="F121" s="1">
        <f t="shared" si="3"/>
        <v>3</v>
      </c>
      <c r="G121" s="1" t="s">
        <v>129</v>
      </c>
      <c r="H121" s="1" t="s">
        <v>296</v>
      </c>
      <c r="I121" s="1" t="s">
        <v>23</v>
      </c>
      <c r="J121" s="1" t="s">
        <v>24</v>
      </c>
      <c r="K121" s="1" t="s">
        <v>297</v>
      </c>
      <c r="L121" s="1" t="s">
        <v>160</v>
      </c>
      <c r="M121" s="1" t="s">
        <v>107</v>
      </c>
      <c r="N121" s="1" t="s">
        <v>28</v>
      </c>
      <c r="O121" s="1" t="s">
        <v>52</v>
      </c>
      <c r="P121" s="1" t="s">
        <v>298</v>
      </c>
      <c r="Q121" s="4">
        <v>47.04</v>
      </c>
      <c r="R121" s="1">
        <v>3</v>
      </c>
      <c r="S121" s="5">
        <v>0</v>
      </c>
      <c r="T121" s="4">
        <v>18.345600000000001</v>
      </c>
      <c r="U121" s="6" t="str">
        <f t="shared" si="4"/>
        <v>Profit</v>
      </c>
      <c r="V121" s="6" t="str">
        <f t="shared" si="5"/>
        <v>Low Sales</v>
      </c>
    </row>
    <row r="122" spans="1:22" x14ac:dyDescent="0.3">
      <c r="A122" s="1">
        <v>121</v>
      </c>
      <c r="B122" s="2">
        <v>41438</v>
      </c>
      <c r="C122" s="1">
        <v>2013</v>
      </c>
      <c r="D122" s="3" t="s">
        <v>33</v>
      </c>
      <c r="E122" s="2">
        <v>41441</v>
      </c>
      <c r="F122" s="1">
        <f t="shared" si="3"/>
        <v>3</v>
      </c>
      <c r="G122" s="1" t="s">
        <v>129</v>
      </c>
      <c r="H122" s="1" t="s">
        <v>296</v>
      </c>
      <c r="I122" s="1" t="s">
        <v>23</v>
      </c>
      <c r="J122" s="1" t="s">
        <v>24</v>
      </c>
      <c r="K122" s="1" t="s">
        <v>297</v>
      </c>
      <c r="L122" s="1" t="s">
        <v>160</v>
      </c>
      <c r="M122" s="1" t="s">
        <v>107</v>
      </c>
      <c r="N122" s="1" t="s">
        <v>39</v>
      </c>
      <c r="O122" s="1" t="s">
        <v>59</v>
      </c>
      <c r="P122" s="1" t="s">
        <v>60</v>
      </c>
      <c r="Q122" s="4">
        <v>30.84</v>
      </c>
      <c r="R122" s="1">
        <v>4</v>
      </c>
      <c r="S122" s="5">
        <v>0</v>
      </c>
      <c r="T122" s="4">
        <v>13.878</v>
      </c>
      <c r="U122" s="6" t="str">
        <f t="shared" si="4"/>
        <v>Profit</v>
      </c>
      <c r="V122" s="6" t="str">
        <f t="shared" si="5"/>
        <v>Low Sales</v>
      </c>
    </row>
    <row r="123" spans="1:22" x14ac:dyDescent="0.3">
      <c r="A123" s="1">
        <v>122</v>
      </c>
      <c r="B123" s="2">
        <v>41438</v>
      </c>
      <c r="C123" s="1">
        <v>2013</v>
      </c>
      <c r="D123" s="3" t="s">
        <v>33</v>
      </c>
      <c r="E123" s="2">
        <v>41441</v>
      </c>
      <c r="F123" s="1">
        <f t="shared" si="3"/>
        <v>3</v>
      </c>
      <c r="G123" s="1" t="s">
        <v>129</v>
      </c>
      <c r="H123" s="1" t="s">
        <v>296</v>
      </c>
      <c r="I123" s="1" t="s">
        <v>23</v>
      </c>
      <c r="J123" s="1" t="s">
        <v>24</v>
      </c>
      <c r="K123" s="1" t="s">
        <v>297</v>
      </c>
      <c r="L123" s="1" t="s">
        <v>160</v>
      </c>
      <c r="M123" s="1" t="s">
        <v>107</v>
      </c>
      <c r="N123" s="1" t="s">
        <v>39</v>
      </c>
      <c r="O123" s="1" t="s">
        <v>49</v>
      </c>
      <c r="P123" s="1" t="s">
        <v>299</v>
      </c>
      <c r="Q123" s="4">
        <v>226.56</v>
      </c>
      <c r="R123" s="1">
        <v>6</v>
      </c>
      <c r="S123" s="5">
        <v>0</v>
      </c>
      <c r="T123" s="4">
        <v>63.436799999999998</v>
      </c>
      <c r="U123" s="6" t="str">
        <f t="shared" si="4"/>
        <v>Profit</v>
      </c>
      <c r="V123" s="6" t="str">
        <f t="shared" si="5"/>
        <v>Low Sales</v>
      </c>
    </row>
    <row r="124" spans="1:22" x14ac:dyDescent="0.3">
      <c r="A124" s="1">
        <v>123</v>
      </c>
      <c r="B124" s="2">
        <v>41438</v>
      </c>
      <c r="C124" s="1">
        <v>2013</v>
      </c>
      <c r="D124" s="3" t="s">
        <v>33</v>
      </c>
      <c r="E124" s="2">
        <v>41441</v>
      </c>
      <c r="F124" s="1">
        <f t="shared" si="3"/>
        <v>3</v>
      </c>
      <c r="G124" s="1" t="s">
        <v>129</v>
      </c>
      <c r="H124" s="1" t="s">
        <v>296</v>
      </c>
      <c r="I124" s="1" t="s">
        <v>23</v>
      </c>
      <c r="J124" s="1" t="s">
        <v>24</v>
      </c>
      <c r="K124" s="1" t="s">
        <v>297</v>
      </c>
      <c r="L124" s="1" t="s">
        <v>160</v>
      </c>
      <c r="M124" s="1" t="s">
        <v>107</v>
      </c>
      <c r="N124" s="1" t="s">
        <v>39</v>
      </c>
      <c r="O124" s="1" t="s">
        <v>121</v>
      </c>
      <c r="P124" s="1" t="s">
        <v>300</v>
      </c>
      <c r="Q124" s="4">
        <v>115.02</v>
      </c>
      <c r="R124" s="1">
        <v>9</v>
      </c>
      <c r="S124" s="5">
        <v>0</v>
      </c>
      <c r="T124" s="4">
        <v>51.759</v>
      </c>
      <c r="U124" s="6" t="str">
        <f t="shared" si="4"/>
        <v>Profit</v>
      </c>
      <c r="V124" s="6" t="str">
        <f t="shared" si="5"/>
        <v>Low Sales</v>
      </c>
    </row>
    <row r="125" spans="1:22" x14ac:dyDescent="0.3">
      <c r="A125" s="1">
        <v>124</v>
      </c>
      <c r="B125" s="2">
        <v>41438</v>
      </c>
      <c r="C125" s="1">
        <v>2013</v>
      </c>
      <c r="D125" s="3" t="s">
        <v>33</v>
      </c>
      <c r="E125" s="2">
        <v>41441</v>
      </c>
      <c r="F125" s="1">
        <f t="shared" si="3"/>
        <v>3</v>
      </c>
      <c r="G125" s="1" t="s">
        <v>129</v>
      </c>
      <c r="H125" s="1" t="s">
        <v>296</v>
      </c>
      <c r="I125" s="1" t="s">
        <v>23</v>
      </c>
      <c r="J125" s="1" t="s">
        <v>24</v>
      </c>
      <c r="K125" s="1" t="s">
        <v>297</v>
      </c>
      <c r="L125" s="1" t="s">
        <v>160</v>
      </c>
      <c r="M125" s="1" t="s">
        <v>107</v>
      </c>
      <c r="N125" s="1" t="s">
        <v>56</v>
      </c>
      <c r="O125" s="1" t="s">
        <v>57</v>
      </c>
      <c r="P125" s="1" t="s">
        <v>301</v>
      </c>
      <c r="Q125" s="4">
        <v>68.040000000000006</v>
      </c>
      <c r="R125" s="1">
        <v>7</v>
      </c>
      <c r="S125" s="5">
        <v>0</v>
      </c>
      <c r="T125" s="4">
        <v>19.7316</v>
      </c>
      <c r="U125" s="6" t="str">
        <f t="shared" si="4"/>
        <v>Profit</v>
      </c>
      <c r="V125" s="6" t="str">
        <f t="shared" si="5"/>
        <v>Low Sales</v>
      </c>
    </row>
    <row r="126" spans="1:22" x14ac:dyDescent="0.3">
      <c r="A126" s="1">
        <v>125</v>
      </c>
      <c r="B126" s="2">
        <v>40903</v>
      </c>
      <c r="C126" s="1">
        <v>2011</v>
      </c>
      <c r="D126" s="3" t="s">
        <v>71</v>
      </c>
      <c r="E126" s="2">
        <v>40905</v>
      </c>
      <c r="F126" s="1">
        <f t="shared" si="3"/>
        <v>2</v>
      </c>
      <c r="G126" s="1" t="s">
        <v>21</v>
      </c>
      <c r="H126" s="1" t="s">
        <v>302</v>
      </c>
      <c r="I126" s="1" t="s">
        <v>77</v>
      </c>
      <c r="J126" s="1" t="s">
        <v>24</v>
      </c>
      <c r="K126" s="1" t="s">
        <v>127</v>
      </c>
      <c r="L126" s="1" t="s">
        <v>79</v>
      </c>
      <c r="M126" s="1" t="s">
        <v>80</v>
      </c>
      <c r="N126" s="1" t="s">
        <v>28</v>
      </c>
      <c r="O126" s="1" t="s">
        <v>31</v>
      </c>
      <c r="P126" s="1" t="s">
        <v>303</v>
      </c>
      <c r="Q126" s="4">
        <v>600.55799999999999</v>
      </c>
      <c r="R126" s="1">
        <v>3</v>
      </c>
      <c r="S126" s="5">
        <v>0.3</v>
      </c>
      <c r="T126" s="4">
        <v>-8.5793999999999997</v>
      </c>
      <c r="U126" s="6" t="str">
        <f t="shared" si="4"/>
        <v>Loss</v>
      </c>
      <c r="V126" s="6" t="str">
        <f t="shared" si="5"/>
        <v>Medium Sales</v>
      </c>
    </row>
    <row r="127" spans="1:22" x14ac:dyDescent="0.3">
      <c r="A127" s="1">
        <v>126</v>
      </c>
      <c r="B127" s="2">
        <v>40806</v>
      </c>
      <c r="C127" s="1">
        <v>2011</v>
      </c>
      <c r="D127" s="3" t="s">
        <v>109</v>
      </c>
      <c r="E127" s="2">
        <v>40811</v>
      </c>
      <c r="F127" s="1">
        <f t="shared" si="3"/>
        <v>5</v>
      </c>
      <c r="G127" s="1" t="s">
        <v>43</v>
      </c>
      <c r="H127" s="1" t="s">
        <v>304</v>
      </c>
      <c r="I127" s="1" t="s">
        <v>23</v>
      </c>
      <c r="J127" s="1" t="s">
        <v>24</v>
      </c>
      <c r="K127" s="1" t="s">
        <v>305</v>
      </c>
      <c r="L127" s="1" t="s">
        <v>141</v>
      </c>
      <c r="M127" s="1" t="s">
        <v>80</v>
      </c>
      <c r="N127" s="1" t="s">
        <v>28</v>
      </c>
      <c r="O127" s="1" t="s">
        <v>47</v>
      </c>
      <c r="P127" s="1" t="s">
        <v>306</v>
      </c>
      <c r="Q127" s="4">
        <v>617.70000000000005</v>
      </c>
      <c r="R127" s="1">
        <v>6</v>
      </c>
      <c r="S127" s="5">
        <v>0.5</v>
      </c>
      <c r="T127" s="4">
        <v>-407.68200000000002</v>
      </c>
      <c r="U127" s="6" t="str">
        <f t="shared" si="4"/>
        <v>Loss</v>
      </c>
      <c r="V127" s="6" t="str">
        <f t="shared" si="5"/>
        <v>Medium Sales</v>
      </c>
    </row>
    <row r="128" spans="1:22" x14ac:dyDescent="0.3">
      <c r="A128" s="1">
        <v>127</v>
      </c>
      <c r="B128" s="2">
        <v>41949</v>
      </c>
      <c r="C128" s="1">
        <v>2014</v>
      </c>
      <c r="D128" s="3" t="s">
        <v>20</v>
      </c>
      <c r="E128" s="2">
        <v>41956</v>
      </c>
      <c r="F128" s="1">
        <f t="shared" si="3"/>
        <v>7</v>
      </c>
      <c r="G128" s="1" t="s">
        <v>43</v>
      </c>
      <c r="H128" s="1" t="s">
        <v>307</v>
      </c>
      <c r="I128" s="1" t="s">
        <v>23</v>
      </c>
      <c r="J128" s="1" t="s">
        <v>24</v>
      </c>
      <c r="K128" s="1" t="s">
        <v>308</v>
      </c>
      <c r="L128" s="1" t="s">
        <v>194</v>
      </c>
      <c r="M128" s="1" t="s">
        <v>38</v>
      </c>
      <c r="N128" s="1" t="s">
        <v>39</v>
      </c>
      <c r="O128" s="1" t="s">
        <v>59</v>
      </c>
      <c r="P128" s="1" t="s">
        <v>309</v>
      </c>
      <c r="Q128" s="4">
        <v>2.3879999999999999</v>
      </c>
      <c r="R128" s="1">
        <v>2</v>
      </c>
      <c r="S128" s="5">
        <v>0.7</v>
      </c>
      <c r="T128" s="4">
        <v>-1.8308</v>
      </c>
      <c r="U128" s="6" t="str">
        <f t="shared" si="4"/>
        <v>Loss</v>
      </c>
      <c r="V128" s="6" t="str">
        <f t="shared" si="5"/>
        <v>Low Sales</v>
      </c>
    </row>
    <row r="129" spans="1:22" x14ac:dyDescent="0.3">
      <c r="A129" s="1">
        <v>128</v>
      </c>
      <c r="B129" s="2">
        <v>41949</v>
      </c>
      <c r="C129" s="1">
        <v>2014</v>
      </c>
      <c r="D129" s="3" t="s">
        <v>20</v>
      </c>
      <c r="E129" s="2">
        <v>41956</v>
      </c>
      <c r="F129" s="1">
        <f t="shared" si="3"/>
        <v>7</v>
      </c>
      <c r="G129" s="1" t="s">
        <v>43</v>
      </c>
      <c r="H129" s="1" t="s">
        <v>307</v>
      </c>
      <c r="I129" s="1" t="s">
        <v>23</v>
      </c>
      <c r="J129" s="1" t="s">
        <v>24</v>
      </c>
      <c r="K129" s="1" t="s">
        <v>308</v>
      </c>
      <c r="L129" s="1" t="s">
        <v>194</v>
      </c>
      <c r="M129" s="1" t="s">
        <v>38</v>
      </c>
      <c r="N129" s="1" t="s">
        <v>39</v>
      </c>
      <c r="O129" s="1" t="s">
        <v>49</v>
      </c>
      <c r="P129" s="1" t="s">
        <v>310</v>
      </c>
      <c r="Q129" s="4">
        <v>243.99199999999999</v>
      </c>
      <c r="R129" s="1">
        <v>7</v>
      </c>
      <c r="S129" s="5">
        <v>0.2</v>
      </c>
      <c r="T129" s="4">
        <v>30.498999999999999</v>
      </c>
      <c r="U129" s="6" t="str">
        <f t="shared" si="4"/>
        <v>Profit</v>
      </c>
      <c r="V129" s="6" t="str">
        <f t="shared" si="5"/>
        <v>Low Sales</v>
      </c>
    </row>
    <row r="130" spans="1:22" x14ac:dyDescent="0.3">
      <c r="A130" s="1">
        <v>129</v>
      </c>
      <c r="B130" s="2">
        <v>41585</v>
      </c>
      <c r="C130" s="1">
        <v>2013</v>
      </c>
      <c r="D130" s="3" t="s">
        <v>20</v>
      </c>
      <c r="E130" s="2">
        <v>41589</v>
      </c>
      <c r="F130" s="1">
        <f t="shared" ref="F130:F193" si="6">_xlfn.DAYS(E130,B130)</f>
        <v>4</v>
      </c>
      <c r="G130" s="1" t="s">
        <v>21</v>
      </c>
      <c r="H130" s="1" t="s">
        <v>311</v>
      </c>
      <c r="I130" s="1" t="s">
        <v>77</v>
      </c>
      <c r="J130" s="1" t="s">
        <v>24</v>
      </c>
      <c r="K130" s="1" t="s">
        <v>36</v>
      </c>
      <c r="L130" s="1" t="s">
        <v>37</v>
      </c>
      <c r="M130" s="1" t="s">
        <v>38</v>
      </c>
      <c r="N130" s="1" t="s">
        <v>28</v>
      </c>
      <c r="O130" s="1" t="s">
        <v>31</v>
      </c>
      <c r="P130" s="1" t="s">
        <v>312</v>
      </c>
      <c r="Q130" s="4">
        <v>81.424000000000007</v>
      </c>
      <c r="R130" s="1">
        <v>2</v>
      </c>
      <c r="S130" s="5">
        <v>0.2</v>
      </c>
      <c r="T130" s="4">
        <v>-9.1601999999999997</v>
      </c>
      <c r="U130" s="6" t="str">
        <f t="shared" si="4"/>
        <v>Loss</v>
      </c>
      <c r="V130" s="6" t="str">
        <f t="shared" si="5"/>
        <v>Low Sales</v>
      </c>
    </row>
    <row r="131" spans="1:22" x14ac:dyDescent="0.3">
      <c r="A131" s="1">
        <v>130</v>
      </c>
      <c r="B131" s="2">
        <v>41585</v>
      </c>
      <c r="C131" s="1">
        <v>2013</v>
      </c>
      <c r="D131" s="3" t="s">
        <v>20</v>
      </c>
      <c r="E131" s="2">
        <v>41589</v>
      </c>
      <c r="F131" s="1">
        <f t="shared" si="6"/>
        <v>4</v>
      </c>
      <c r="G131" s="1" t="s">
        <v>21</v>
      </c>
      <c r="H131" s="1" t="s">
        <v>311</v>
      </c>
      <c r="I131" s="1" t="s">
        <v>77</v>
      </c>
      <c r="J131" s="1" t="s">
        <v>24</v>
      </c>
      <c r="K131" s="1" t="s">
        <v>36</v>
      </c>
      <c r="L131" s="1" t="s">
        <v>37</v>
      </c>
      <c r="M131" s="1" t="s">
        <v>38</v>
      </c>
      <c r="N131" s="1" t="s">
        <v>28</v>
      </c>
      <c r="O131" s="1" t="s">
        <v>52</v>
      </c>
      <c r="P131" s="1" t="s">
        <v>313</v>
      </c>
      <c r="Q131" s="4">
        <v>238.56</v>
      </c>
      <c r="R131" s="1">
        <v>3</v>
      </c>
      <c r="S131" s="5">
        <v>0</v>
      </c>
      <c r="T131" s="4">
        <v>26.241599999999998</v>
      </c>
      <c r="U131" s="6" t="str">
        <f t="shared" ref="U131:U194" si="7">IF(T131&gt;0,"Profit","Loss")</f>
        <v>Profit</v>
      </c>
      <c r="V131" s="6" t="str">
        <f t="shared" ref="V131:V194" si="8">IF(Q131&gt;=1000,"High Sales",IF(Q131&gt;=500,"Medium Sales","Low Sales"))</f>
        <v>Low Sales</v>
      </c>
    </row>
    <row r="132" spans="1:22" x14ac:dyDescent="0.3">
      <c r="A132" s="1">
        <v>131</v>
      </c>
      <c r="B132" s="2">
        <v>41673</v>
      </c>
      <c r="C132" s="1">
        <v>2014</v>
      </c>
      <c r="D132" s="3" t="s">
        <v>314</v>
      </c>
      <c r="E132" s="2">
        <v>41676</v>
      </c>
      <c r="F132" s="1">
        <f t="shared" si="6"/>
        <v>3</v>
      </c>
      <c r="G132" s="1" t="s">
        <v>129</v>
      </c>
      <c r="H132" s="1" t="s">
        <v>315</v>
      </c>
      <c r="I132" s="1" t="s">
        <v>35</v>
      </c>
      <c r="J132" s="1" t="s">
        <v>24</v>
      </c>
      <c r="K132" s="1" t="s">
        <v>285</v>
      </c>
      <c r="L132" s="1" t="s">
        <v>286</v>
      </c>
      <c r="M132" s="1" t="s">
        <v>107</v>
      </c>
      <c r="N132" s="1" t="s">
        <v>56</v>
      </c>
      <c r="O132" s="1" t="s">
        <v>57</v>
      </c>
      <c r="P132" s="1" t="s">
        <v>316</v>
      </c>
      <c r="Q132" s="4">
        <v>59.97</v>
      </c>
      <c r="R132" s="1">
        <v>5</v>
      </c>
      <c r="S132" s="5">
        <v>0.4</v>
      </c>
      <c r="T132" s="4">
        <v>-11.994</v>
      </c>
      <c r="U132" s="6" t="str">
        <f t="shared" si="7"/>
        <v>Loss</v>
      </c>
      <c r="V132" s="6" t="str">
        <f t="shared" si="8"/>
        <v>Low Sales</v>
      </c>
    </row>
    <row r="133" spans="1:22" x14ac:dyDescent="0.3">
      <c r="A133" s="1">
        <v>132</v>
      </c>
      <c r="B133" s="2">
        <v>41673</v>
      </c>
      <c r="C133" s="1">
        <v>2014</v>
      </c>
      <c r="D133" s="3" t="s">
        <v>314</v>
      </c>
      <c r="E133" s="2">
        <v>41676</v>
      </c>
      <c r="F133" s="1">
        <f t="shared" si="6"/>
        <v>3</v>
      </c>
      <c r="G133" s="1" t="s">
        <v>129</v>
      </c>
      <c r="H133" s="1" t="s">
        <v>315</v>
      </c>
      <c r="I133" s="1" t="s">
        <v>35</v>
      </c>
      <c r="J133" s="1" t="s">
        <v>24</v>
      </c>
      <c r="K133" s="1" t="s">
        <v>285</v>
      </c>
      <c r="L133" s="1" t="s">
        <v>286</v>
      </c>
      <c r="M133" s="1" t="s">
        <v>107</v>
      </c>
      <c r="N133" s="1" t="s">
        <v>39</v>
      </c>
      <c r="O133" s="1" t="s">
        <v>69</v>
      </c>
      <c r="P133" s="1" t="s">
        <v>317</v>
      </c>
      <c r="Q133" s="4">
        <v>78.304000000000002</v>
      </c>
      <c r="R133" s="1">
        <v>2</v>
      </c>
      <c r="S133" s="5">
        <v>0.2</v>
      </c>
      <c r="T133" s="4">
        <v>29.364000000000001</v>
      </c>
      <c r="U133" s="6" t="str">
        <f t="shared" si="7"/>
        <v>Profit</v>
      </c>
      <c r="V133" s="6" t="str">
        <f t="shared" si="8"/>
        <v>Low Sales</v>
      </c>
    </row>
    <row r="134" spans="1:22" x14ac:dyDescent="0.3">
      <c r="A134" s="1">
        <v>133</v>
      </c>
      <c r="B134" s="2">
        <v>41673</v>
      </c>
      <c r="C134" s="1">
        <v>2014</v>
      </c>
      <c r="D134" s="3" t="s">
        <v>314</v>
      </c>
      <c r="E134" s="2">
        <v>41676</v>
      </c>
      <c r="F134" s="1">
        <f t="shared" si="6"/>
        <v>3</v>
      </c>
      <c r="G134" s="1" t="s">
        <v>129</v>
      </c>
      <c r="H134" s="1" t="s">
        <v>315</v>
      </c>
      <c r="I134" s="1" t="s">
        <v>35</v>
      </c>
      <c r="J134" s="1" t="s">
        <v>24</v>
      </c>
      <c r="K134" s="1" t="s">
        <v>285</v>
      </c>
      <c r="L134" s="1" t="s">
        <v>286</v>
      </c>
      <c r="M134" s="1" t="s">
        <v>107</v>
      </c>
      <c r="N134" s="1" t="s">
        <v>39</v>
      </c>
      <c r="O134" s="1" t="s">
        <v>173</v>
      </c>
      <c r="P134" s="1" t="s">
        <v>128</v>
      </c>
      <c r="Q134" s="4">
        <v>21.456</v>
      </c>
      <c r="R134" s="1">
        <v>9</v>
      </c>
      <c r="S134" s="5">
        <v>0.2</v>
      </c>
      <c r="T134" s="4">
        <v>6.9732000000000003</v>
      </c>
      <c r="U134" s="6" t="str">
        <f t="shared" si="7"/>
        <v>Profit</v>
      </c>
      <c r="V134" s="6" t="str">
        <f t="shared" si="8"/>
        <v>Low Sales</v>
      </c>
    </row>
    <row r="135" spans="1:22" x14ac:dyDescent="0.3">
      <c r="A135" s="1">
        <v>134</v>
      </c>
      <c r="B135" s="2">
        <v>41561</v>
      </c>
      <c r="C135" s="1">
        <v>2013</v>
      </c>
      <c r="D135" s="3" t="s">
        <v>42</v>
      </c>
      <c r="E135" s="2">
        <v>41567</v>
      </c>
      <c r="F135" s="1">
        <f t="shared" si="6"/>
        <v>6</v>
      </c>
      <c r="G135" s="1" t="s">
        <v>43</v>
      </c>
      <c r="H135" s="1" t="s">
        <v>318</v>
      </c>
      <c r="I135" s="1" t="s">
        <v>23</v>
      </c>
      <c r="J135" s="1" t="s">
        <v>24</v>
      </c>
      <c r="K135" s="1" t="s">
        <v>319</v>
      </c>
      <c r="L135" s="1" t="s">
        <v>37</v>
      </c>
      <c r="M135" s="1" t="s">
        <v>38</v>
      </c>
      <c r="N135" s="1" t="s">
        <v>39</v>
      </c>
      <c r="O135" s="1" t="s">
        <v>69</v>
      </c>
      <c r="P135" s="1" t="s">
        <v>320</v>
      </c>
      <c r="Q135" s="4">
        <v>20.04</v>
      </c>
      <c r="R135" s="1">
        <v>3</v>
      </c>
      <c r="S135" s="5">
        <v>0</v>
      </c>
      <c r="T135" s="4">
        <v>9.6191999999999993</v>
      </c>
      <c r="U135" s="6" t="str">
        <f t="shared" si="7"/>
        <v>Profit</v>
      </c>
      <c r="V135" s="6" t="str">
        <f t="shared" si="8"/>
        <v>Low Sales</v>
      </c>
    </row>
    <row r="136" spans="1:22" x14ac:dyDescent="0.3">
      <c r="A136" s="1">
        <v>135</v>
      </c>
      <c r="B136" s="2">
        <v>41561</v>
      </c>
      <c r="C136" s="1">
        <v>2013</v>
      </c>
      <c r="D136" s="3" t="s">
        <v>42</v>
      </c>
      <c r="E136" s="2">
        <v>41567</v>
      </c>
      <c r="F136" s="1">
        <f t="shared" si="6"/>
        <v>6</v>
      </c>
      <c r="G136" s="1" t="s">
        <v>43</v>
      </c>
      <c r="H136" s="1" t="s">
        <v>318</v>
      </c>
      <c r="I136" s="1" t="s">
        <v>23</v>
      </c>
      <c r="J136" s="1" t="s">
        <v>24</v>
      </c>
      <c r="K136" s="1" t="s">
        <v>319</v>
      </c>
      <c r="L136" s="1" t="s">
        <v>37</v>
      </c>
      <c r="M136" s="1" t="s">
        <v>38</v>
      </c>
      <c r="N136" s="1" t="s">
        <v>39</v>
      </c>
      <c r="O136" s="1" t="s">
        <v>69</v>
      </c>
      <c r="P136" s="1" t="s">
        <v>321</v>
      </c>
      <c r="Q136" s="4">
        <v>35.44</v>
      </c>
      <c r="R136" s="1">
        <v>1</v>
      </c>
      <c r="S136" s="5">
        <v>0</v>
      </c>
      <c r="T136" s="4">
        <v>16.6568</v>
      </c>
      <c r="U136" s="6" t="str">
        <f t="shared" si="7"/>
        <v>Profit</v>
      </c>
      <c r="V136" s="6" t="str">
        <f t="shared" si="8"/>
        <v>Low Sales</v>
      </c>
    </row>
    <row r="137" spans="1:22" x14ac:dyDescent="0.3">
      <c r="A137" s="1">
        <v>136</v>
      </c>
      <c r="B137" s="2">
        <v>41561</v>
      </c>
      <c r="C137" s="1">
        <v>2013</v>
      </c>
      <c r="D137" s="3" t="s">
        <v>42</v>
      </c>
      <c r="E137" s="2">
        <v>41567</v>
      </c>
      <c r="F137" s="1">
        <f t="shared" si="6"/>
        <v>6</v>
      </c>
      <c r="G137" s="1" t="s">
        <v>43</v>
      </c>
      <c r="H137" s="1" t="s">
        <v>318</v>
      </c>
      <c r="I137" s="1" t="s">
        <v>23</v>
      </c>
      <c r="J137" s="1" t="s">
        <v>24</v>
      </c>
      <c r="K137" s="1" t="s">
        <v>319</v>
      </c>
      <c r="L137" s="1" t="s">
        <v>37</v>
      </c>
      <c r="M137" s="1" t="s">
        <v>38</v>
      </c>
      <c r="N137" s="1" t="s">
        <v>39</v>
      </c>
      <c r="O137" s="1" t="s">
        <v>54</v>
      </c>
      <c r="P137" s="1" t="s">
        <v>322</v>
      </c>
      <c r="Q137" s="4">
        <v>11.52</v>
      </c>
      <c r="R137" s="1">
        <v>4</v>
      </c>
      <c r="S137" s="5">
        <v>0</v>
      </c>
      <c r="T137" s="4">
        <v>3.456</v>
      </c>
      <c r="U137" s="6" t="str">
        <f t="shared" si="7"/>
        <v>Profit</v>
      </c>
      <c r="V137" s="6" t="str">
        <f t="shared" si="8"/>
        <v>Low Sales</v>
      </c>
    </row>
    <row r="138" spans="1:22" x14ac:dyDescent="0.3">
      <c r="A138" s="1">
        <v>137</v>
      </c>
      <c r="B138" s="2">
        <v>41561</v>
      </c>
      <c r="C138" s="1">
        <v>2013</v>
      </c>
      <c r="D138" s="3" t="s">
        <v>42</v>
      </c>
      <c r="E138" s="2">
        <v>41567</v>
      </c>
      <c r="F138" s="1">
        <f t="shared" si="6"/>
        <v>6</v>
      </c>
      <c r="G138" s="1" t="s">
        <v>43</v>
      </c>
      <c r="H138" s="1" t="s">
        <v>318</v>
      </c>
      <c r="I138" s="1" t="s">
        <v>23</v>
      </c>
      <c r="J138" s="1" t="s">
        <v>24</v>
      </c>
      <c r="K138" s="1" t="s">
        <v>319</v>
      </c>
      <c r="L138" s="1" t="s">
        <v>37</v>
      </c>
      <c r="M138" s="1" t="s">
        <v>38</v>
      </c>
      <c r="N138" s="1" t="s">
        <v>39</v>
      </c>
      <c r="O138" s="1" t="s">
        <v>173</v>
      </c>
      <c r="P138" s="1" t="s">
        <v>323</v>
      </c>
      <c r="Q138" s="4">
        <v>4.0199999999999996</v>
      </c>
      <c r="R138" s="1">
        <v>2</v>
      </c>
      <c r="S138" s="5">
        <v>0</v>
      </c>
      <c r="T138" s="4">
        <v>1.9698</v>
      </c>
      <c r="U138" s="6" t="str">
        <f t="shared" si="7"/>
        <v>Profit</v>
      </c>
      <c r="V138" s="6" t="str">
        <f t="shared" si="8"/>
        <v>Low Sales</v>
      </c>
    </row>
    <row r="139" spans="1:22" x14ac:dyDescent="0.3">
      <c r="A139" s="1">
        <v>138</v>
      </c>
      <c r="B139" s="2">
        <v>41561</v>
      </c>
      <c r="C139" s="1">
        <v>2013</v>
      </c>
      <c r="D139" s="3" t="s">
        <v>42</v>
      </c>
      <c r="E139" s="2">
        <v>41567</v>
      </c>
      <c r="F139" s="1">
        <f t="shared" si="6"/>
        <v>6</v>
      </c>
      <c r="G139" s="1" t="s">
        <v>43</v>
      </c>
      <c r="H139" s="1" t="s">
        <v>318</v>
      </c>
      <c r="I139" s="1" t="s">
        <v>23</v>
      </c>
      <c r="J139" s="1" t="s">
        <v>24</v>
      </c>
      <c r="K139" s="1" t="s">
        <v>319</v>
      </c>
      <c r="L139" s="1" t="s">
        <v>37</v>
      </c>
      <c r="M139" s="1" t="s">
        <v>38</v>
      </c>
      <c r="N139" s="1" t="s">
        <v>39</v>
      </c>
      <c r="O139" s="1" t="s">
        <v>59</v>
      </c>
      <c r="P139" s="1" t="s">
        <v>324</v>
      </c>
      <c r="Q139" s="4">
        <v>76.176000000000002</v>
      </c>
      <c r="R139" s="1">
        <v>3</v>
      </c>
      <c r="S139" s="5">
        <v>0.2</v>
      </c>
      <c r="T139" s="4">
        <v>26.6616</v>
      </c>
      <c r="U139" s="6" t="str">
        <f t="shared" si="7"/>
        <v>Profit</v>
      </c>
      <c r="V139" s="6" t="str">
        <f t="shared" si="8"/>
        <v>Low Sales</v>
      </c>
    </row>
    <row r="140" spans="1:22" x14ac:dyDescent="0.3">
      <c r="A140" s="1">
        <v>139</v>
      </c>
      <c r="B140" s="2">
        <v>41561</v>
      </c>
      <c r="C140" s="1">
        <v>2013</v>
      </c>
      <c r="D140" s="3" t="s">
        <v>42</v>
      </c>
      <c r="E140" s="2">
        <v>41567</v>
      </c>
      <c r="F140" s="1">
        <f t="shared" si="6"/>
        <v>6</v>
      </c>
      <c r="G140" s="1" t="s">
        <v>43</v>
      </c>
      <c r="H140" s="1" t="s">
        <v>318</v>
      </c>
      <c r="I140" s="1" t="s">
        <v>23</v>
      </c>
      <c r="J140" s="1" t="s">
        <v>24</v>
      </c>
      <c r="K140" s="1" t="s">
        <v>319</v>
      </c>
      <c r="L140" s="1" t="s">
        <v>37</v>
      </c>
      <c r="M140" s="1" t="s">
        <v>38</v>
      </c>
      <c r="N140" s="1" t="s">
        <v>39</v>
      </c>
      <c r="O140" s="1" t="s">
        <v>325</v>
      </c>
      <c r="P140" s="1" t="s">
        <v>326</v>
      </c>
      <c r="Q140" s="4">
        <v>65.88</v>
      </c>
      <c r="R140" s="1">
        <v>6</v>
      </c>
      <c r="S140" s="5">
        <v>0</v>
      </c>
      <c r="T140" s="4">
        <v>18.446400000000001</v>
      </c>
      <c r="U140" s="6" t="str">
        <f t="shared" si="7"/>
        <v>Profit</v>
      </c>
      <c r="V140" s="6" t="str">
        <f t="shared" si="8"/>
        <v>Low Sales</v>
      </c>
    </row>
    <row r="141" spans="1:22" x14ac:dyDescent="0.3">
      <c r="A141" s="1">
        <v>140</v>
      </c>
      <c r="B141" s="2">
        <v>41561</v>
      </c>
      <c r="C141" s="1">
        <v>2013</v>
      </c>
      <c r="D141" s="3" t="s">
        <v>42</v>
      </c>
      <c r="E141" s="2">
        <v>41567</v>
      </c>
      <c r="F141" s="1">
        <f t="shared" si="6"/>
        <v>6</v>
      </c>
      <c r="G141" s="1" t="s">
        <v>43</v>
      </c>
      <c r="H141" s="1" t="s">
        <v>318</v>
      </c>
      <c r="I141" s="1" t="s">
        <v>23</v>
      </c>
      <c r="J141" s="1" t="s">
        <v>24</v>
      </c>
      <c r="K141" s="1" t="s">
        <v>319</v>
      </c>
      <c r="L141" s="1" t="s">
        <v>37</v>
      </c>
      <c r="M141" s="1" t="s">
        <v>38</v>
      </c>
      <c r="N141" s="1" t="s">
        <v>28</v>
      </c>
      <c r="O141" s="1" t="s">
        <v>52</v>
      </c>
      <c r="P141" s="1" t="s">
        <v>168</v>
      </c>
      <c r="Q141" s="4">
        <v>43.12</v>
      </c>
      <c r="R141" s="1">
        <v>14</v>
      </c>
      <c r="S141" s="5">
        <v>0</v>
      </c>
      <c r="T141" s="4">
        <v>20.697600000000001</v>
      </c>
      <c r="U141" s="6" t="str">
        <f t="shared" si="7"/>
        <v>Profit</v>
      </c>
      <c r="V141" s="6" t="str">
        <f t="shared" si="8"/>
        <v>Low Sales</v>
      </c>
    </row>
    <row r="142" spans="1:22" x14ac:dyDescent="0.3">
      <c r="A142" s="1">
        <v>141</v>
      </c>
      <c r="B142" s="2">
        <v>41523</v>
      </c>
      <c r="C142" s="1">
        <v>2013</v>
      </c>
      <c r="D142" s="3" t="s">
        <v>109</v>
      </c>
      <c r="E142" s="2">
        <v>41525</v>
      </c>
      <c r="F142" s="1">
        <f t="shared" si="6"/>
        <v>2</v>
      </c>
      <c r="G142" s="1" t="s">
        <v>21</v>
      </c>
      <c r="H142" s="1" t="s">
        <v>327</v>
      </c>
      <c r="I142" s="1" t="s">
        <v>35</v>
      </c>
      <c r="J142" s="1" t="s">
        <v>24</v>
      </c>
      <c r="K142" s="1" t="s">
        <v>105</v>
      </c>
      <c r="L142" s="1" t="s">
        <v>106</v>
      </c>
      <c r="M142" s="1" t="s">
        <v>107</v>
      </c>
      <c r="N142" s="1" t="s">
        <v>28</v>
      </c>
      <c r="O142" s="1" t="s">
        <v>52</v>
      </c>
      <c r="P142" s="1" t="s">
        <v>120</v>
      </c>
      <c r="Q142" s="4">
        <v>82.8</v>
      </c>
      <c r="R142" s="1">
        <v>2</v>
      </c>
      <c r="S142" s="5">
        <v>0.2</v>
      </c>
      <c r="T142" s="4">
        <v>10.35</v>
      </c>
      <c r="U142" s="6" t="str">
        <f t="shared" si="7"/>
        <v>Profit</v>
      </c>
      <c r="V142" s="6" t="str">
        <f t="shared" si="8"/>
        <v>Low Sales</v>
      </c>
    </row>
    <row r="143" spans="1:22" x14ac:dyDescent="0.3">
      <c r="A143" s="1">
        <v>142</v>
      </c>
      <c r="B143" s="2">
        <v>41901</v>
      </c>
      <c r="C143" s="1">
        <v>2014</v>
      </c>
      <c r="D143" s="3" t="s">
        <v>109</v>
      </c>
      <c r="E143" s="2">
        <v>41906</v>
      </c>
      <c r="F143" s="1">
        <f t="shared" si="6"/>
        <v>5</v>
      </c>
      <c r="G143" s="1" t="s">
        <v>43</v>
      </c>
      <c r="H143" s="1" t="s">
        <v>328</v>
      </c>
      <c r="I143" s="1" t="s">
        <v>35</v>
      </c>
      <c r="J143" s="1" t="s">
        <v>24</v>
      </c>
      <c r="K143" s="1" t="s">
        <v>94</v>
      </c>
      <c r="L143" s="1" t="s">
        <v>37</v>
      </c>
      <c r="M143" s="1" t="s">
        <v>38</v>
      </c>
      <c r="N143" s="1" t="s">
        <v>39</v>
      </c>
      <c r="O143" s="1" t="s">
        <v>54</v>
      </c>
      <c r="P143" s="1" t="s">
        <v>329</v>
      </c>
      <c r="Q143" s="4">
        <v>8.82</v>
      </c>
      <c r="R143" s="1">
        <v>3</v>
      </c>
      <c r="S143" s="5">
        <v>0</v>
      </c>
      <c r="T143" s="4">
        <v>2.3814000000000002</v>
      </c>
      <c r="U143" s="6" t="str">
        <f t="shared" si="7"/>
        <v>Profit</v>
      </c>
      <c r="V143" s="6" t="str">
        <f t="shared" si="8"/>
        <v>Low Sales</v>
      </c>
    </row>
    <row r="144" spans="1:22" x14ac:dyDescent="0.3">
      <c r="A144" s="1">
        <v>143</v>
      </c>
      <c r="B144" s="2">
        <v>41901</v>
      </c>
      <c r="C144" s="1">
        <v>2014</v>
      </c>
      <c r="D144" s="3" t="s">
        <v>109</v>
      </c>
      <c r="E144" s="2">
        <v>41906</v>
      </c>
      <c r="F144" s="1">
        <f t="shared" si="6"/>
        <v>5</v>
      </c>
      <c r="G144" s="1" t="s">
        <v>43</v>
      </c>
      <c r="H144" s="1" t="s">
        <v>328</v>
      </c>
      <c r="I144" s="1" t="s">
        <v>35</v>
      </c>
      <c r="J144" s="1" t="s">
        <v>24</v>
      </c>
      <c r="K144" s="1" t="s">
        <v>94</v>
      </c>
      <c r="L144" s="1" t="s">
        <v>37</v>
      </c>
      <c r="M144" s="1" t="s">
        <v>38</v>
      </c>
      <c r="N144" s="1" t="s">
        <v>39</v>
      </c>
      <c r="O144" s="1" t="s">
        <v>121</v>
      </c>
      <c r="P144" s="1" t="s">
        <v>330</v>
      </c>
      <c r="Q144" s="4">
        <v>10.86</v>
      </c>
      <c r="R144" s="1">
        <v>3</v>
      </c>
      <c r="S144" s="5">
        <v>0</v>
      </c>
      <c r="T144" s="4">
        <v>5.1041999999999996</v>
      </c>
      <c r="U144" s="6" t="str">
        <f t="shared" si="7"/>
        <v>Profit</v>
      </c>
      <c r="V144" s="6" t="str">
        <f t="shared" si="8"/>
        <v>Low Sales</v>
      </c>
    </row>
    <row r="145" spans="1:22" x14ac:dyDescent="0.3">
      <c r="A145" s="1">
        <v>144</v>
      </c>
      <c r="B145" s="2">
        <v>41901</v>
      </c>
      <c r="C145" s="1">
        <v>2014</v>
      </c>
      <c r="D145" s="3" t="s">
        <v>109</v>
      </c>
      <c r="E145" s="2">
        <v>41906</v>
      </c>
      <c r="F145" s="1">
        <f t="shared" si="6"/>
        <v>5</v>
      </c>
      <c r="G145" s="1" t="s">
        <v>43</v>
      </c>
      <c r="H145" s="1" t="s">
        <v>328</v>
      </c>
      <c r="I145" s="1" t="s">
        <v>35</v>
      </c>
      <c r="J145" s="1" t="s">
        <v>24</v>
      </c>
      <c r="K145" s="1" t="s">
        <v>94</v>
      </c>
      <c r="L145" s="1" t="s">
        <v>37</v>
      </c>
      <c r="M145" s="1" t="s">
        <v>38</v>
      </c>
      <c r="N145" s="1" t="s">
        <v>39</v>
      </c>
      <c r="O145" s="1" t="s">
        <v>69</v>
      </c>
      <c r="P145" s="1" t="s">
        <v>331</v>
      </c>
      <c r="Q145" s="4">
        <v>143.69999999999999</v>
      </c>
      <c r="R145" s="1">
        <v>3</v>
      </c>
      <c r="S145" s="5">
        <v>0</v>
      </c>
      <c r="T145" s="4">
        <v>68.975999999999999</v>
      </c>
      <c r="U145" s="6" t="str">
        <f t="shared" si="7"/>
        <v>Profit</v>
      </c>
      <c r="V145" s="6" t="str">
        <f t="shared" si="8"/>
        <v>Low Sales</v>
      </c>
    </row>
    <row r="146" spans="1:22" x14ac:dyDescent="0.3">
      <c r="A146" s="1">
        <v>145</v>
      </c>
      <c r="B146" s="2">
        <v>41996</v>
      </c>
      <c r="C146" s="1">
        <v>2014</v>
      </c>
      <c r="D146" s="3" t="s">
        <v>71</v>
      </c>
      <c r="E146" s="2">
        <v>42001</v>
      </c>
      <c r="F146" s="1">
        <f t="shared" si="6"/>
        <v>5</v>
      </c>
      <c r="G146" s="1" t="s">
        <v>43</v>
      </c>
      <c r="H146" s="1" t="s">
        <v>332</v>
      </c>
      <c r="I146" s="1" t="s">
        <v>23</v>
      </c>
      <c r="J146" s="1" t="s">
        <v>24</v>
      </c>
      <c r="K146" s="1" t="s">
        <v>333</v>
      </c>
      <c r="L146" s="1" t="s">
        <v>334</v>
      </c>
      <c r="M146" s="1" t="s">
        <v>80</v>
      </c>
      <c r="N146" s="1" t="s">
        <v>39</v>
      </c>
      <c r="O146" s="1" t="s">
        <v>61</v>
      </c>
      <c r="P146" s="1" t="s">
        <v>335</v>
      </c>
      <c r="Q146" s="4">
        <v>839.43</v>
      </c>
      <c r="R146" s="1">
        <v>3</v>
      </c>
      <c r="S146" s="5">
        <v>0</v>
      </c>
      <c r="T146" s="4">
        <v>218.2518</v>
      </c>
      <c r="U146" s="6" t="str">
        <f t="shared" si="7"/>
        <v>Profit</v>
      </c>
      <c r="V146" s="6" t="str">
        <f t="shared" si="8"/>
        <v>Medium Sales</v>
      </c>
    </row>
    <row r="147" spans="1:22" x14ac:dyDescent="0.3">
      <c r="A147" s="1">
        <v>146</v>
      </c>
      <c r="B147" s="2">
        <v>41159</v>
      </c>
      <c r="C147" s="1">
        <v>2012</v>
      </c>
      <c r="D147" s="3" t="s">
        <v>109</v>
      </c>
      <c r="E147" s="2">
        <v>41164</v>
      </c>
      <c r="F147" s="1">
        <f t="shared" si="6"/>
        <v>5</v>
      </c>
      <c r="G147" s="1" t="s">
        <v>43</v>
      </c>
      <c r="H147" s="1" t="s">
        <v>336</v>
      </c>
      <c r="I147" s="1" t="s">
        <v>23</v>
      </c>
      <c r="J147" s="1" t="s">
        <v>24</v>
      </c>
      <c r="K147" s="1" t="s">
        <v>337</v>
      </c>
      <c r="L147" s="1" t="s">
        <v>37</v>
      </c>
      <c r="M147" s="1" t="s">
        <v>38</v>
      </c>
      <c r="N147" s="1" t="s">
        <v>39</v>
      </c>
      <c r="O147" s="1" t="s">
        <v>49</v>
      </c>
      <c r="P147" s="1" t="s">
        <v>228</v>
      </c>
      <c r="Q147" s="4">
        <v>671.93</v>
      </c>
      <c r="R147" s="1">
        <v>7</v>
      </c>
      <c r="S147" s="5">
        <v>0</v>
      </c>
      <c r="T147" s="4">
        <v>20.157900000000001</v>
      </c>
      <c r="U147" s="6" t="str">
        <f t="shared" si="7"/>
        <v>Profit</v>
      </c>
      <c r="V147" s="6" t="str">
        <f t="shared" si="8"/>
        <v>Medium Sales</v>
      </c>
    </row>
    <row r="148" spans="1:22" x14ac:dyDescent="0.3">
      <c r="A148" s="1">
        <v>147</v>
      </c>
      <c r="B148" s="2">
        <v>40838</v>
      </c>
      <c r="C148" s="1">
        <v>2011</v>
      </c>
      <c r="D148" s="3" t="s">
        <v>42</v>
      </c>
      <c r="E148" s="2">
        <v>40844</v>
      </c>
      <c r="F148" s="1">
        <f t="shared" si="6"/>
        <v>6</v>
      </c>
      <c r="G148" s="1" t="s">
        <v>43</v>
      </c>
      <c r="H148" s="1" t="s">
        <v>338</v>
      </c>
      <c r="I148" s="1" t="s">
        <v>77</v>
      </c>
      <c r="J148" s="1" t="s">
        <v>24</v>
      </c>
      <c r="K148" s="1" t="s">
        <v>339</v>
      </c>
      <c r="L148" s="1" t="s">
        <v>286</v>
      </c>
      <c r="M148" s="1" t="s">
        <v>107</v>
      </c>
      <c r="N148" s="1" t="s">
        <v>28</v>
      </c>
      <c r="O148" s="1" t="s">
        <v>52</v>
      </c>
      <c r="P148" s="1" t="s">
        <v>340</v>
      </c>
      <c r="Q148" s="4">
        <v>93.888000000000005</v>
      </c>
      <c r="R148" s="1">
        <v>4</v>
      </c>
      <c r="S148" s="5">
        <v>0.2</v>
      </c>
      <c r="T148" s="4">
        <v>12.909599999999999</v>
      </c>
      <c r="U148" s="6" t="str">
        <f t="shared" si="7"/>
        <v>Profit</v>
      </c>
      <c r="V148" s="6" t="str">
        <f t="shared" si="8"/>
        <v>Low Sales</v>
      </c>
    </row>
    <row r="149" spans="1:22" x14ac:dyDescent="0.3">
      <c r="A149" s="1">
        <v>148</v>
      </c>
      <c r="B149" s="2">
        <v>41614</v>
      </c>
      <c r="C149" s="1">
        <v>2013</v>
      </c>
      <c r="D149" s="3" t="s">
        <v>71</v>
      </c>
      <c r="E149" s="2">
        <v>41618</v>
      </c>
      <c r="F149" s="1">
        <f t="shared" si="6"/>
        <v>4</v>
      </c>
      <c r="G149" s="1" t="s">
        <v>43</v>
      </c>
      <c r="H149" s="1" t="s">
        <v>341</v>
      </c>
      <c r="I149" s="1" t="s">
        <v>35</v>
      </c>
      <c r="J149" s="1" t="s">
        <v>24</v>
      </c>
      <c r="K149" s="1" t="s">
        <v>342</v>
      </c>
      <c r="L149" s="1" t="s">
        <v>85</v>
      </c>
      <c r="M149" s="1" t="s">
        <v>80</v>
      </c>
      <c r="N149" s="1" t="s">
        <v>56</v>
      </c>
      <c r="O149" s="1" t="s">
        <v>57</v>
      </c>
      <c r="P149" s="1" t="s">
        <v>343</v>
      </c>
      <c r="Q149" s="4">
        <v>384.45</v>
      </c>
      <c r="R149" s="1">
        <v>11</v>
      </c>
      <c r="S149" s="5">
        <v>0</v>
      </c>
      <c r="T149" s="4">
        <v>103.8015</v>
      </c>
      <c r="U149" s="6" t="str">
        <f t="shared" si="7"/>
        <v>Profit</v>
      </c>
      <c r="V149" s="6" t="str">
        <f t="shared" si="8"/>
        <v>Low Sales</v>
      </c>
    </row>
    <row r="150" spans="1:22" x14ac:dyDescent="0.3">
      <c r="A150" s="1">
        <v>149</v>
      </c>
      <c r="B150" s="2">
        <v>41614</v>
      </c>
      <c r="C150" s="1">
        <v>2013</v>
      </c>
      <c r="D150" s="3" t="s">
        <v>71</v>
      </c>
      <c r="E150" s="2">
        <v>41618</v>
      </c>
      <c r="F150" s="1">
        <f t="shared" si="6"/>
        <v>4</v>
      </c>
      <c r="G150" s="1" t="s">
        <v>43</v>
      </c>
      <c r="H150" s="1" t="s">
        <v>341</v>
      </c>
      <c r="I150" s="1" t="s">
        <v>35</v>
      </c>
      <c r="J150" s="1" t="s">
        <v>24</v>
      </c>
      <c r="K150" s="1" t="s">
        <v>342</v>
      </c>
      <c r="L150" s="1" t="s">
        <v>85</v>
      </c>
      <c r="M150" s="1" t="s">
        <v>80</v>
      </c>
      <c r="N150" s="1" t="s">
        <v>56</v>
      </c>
      <c r="O150" s="1" t="s">
        <v>57</v>
      </c>
      <c r="P150" s="1" t="s">
        <v>344</v>
      </c>
      <c r="Q150" s="4">
        <v>149.97</v>
      </c>
      <c r="R150" s="1">
        <v>3</v>
      </c>
      <c r="S150" s="5">
        <v>0</v>
      </c>
      <c r="T150" s="4">
        <v>5.9988000000000001</v>
      </c>
      <c r="U150" s="6" t="str">
        <f t="shared" si="7"/>
        <v>Profit</v>
      </c>
      <c r="V150" s="6" t="str">
        <f t="shared" si="8"/>
        <v>Low Sales</v>
      </c>
    </row>
    <row r="151" spans="1:22" x14ac:dyDescent="0.3">
      <c r="A151" s="1">
        <v>150</v>
      </c>
      <c r="B151" s="2">
        <v>41614</v>
      </c>
      <c r="C151" s="1">
        <v>2013</v>
      </c>
      <c r="D151" s="3" t="s">
        <v>71</v>
      </c>
      <c r="E151" s="2">
        <v>41618</v>
      </c>
      <c r="F151" s="1">
        <f t="shared" si="6"/>
        <v>4</v>
      </c>
      <c r="G151" s="1" t="s">
        <v>43</v>
      </c>
      <c r="H151" s="1" t="s">
        <v>341</v>
      </c>
      <c r="I151" s="1" t="s">
        <v>35</v>
      </c>
      <c r="J151" s="1" t="s">
        <v>24</v>
      </c>
      <c r="K151" s="1" t="s">
        <v>342</v>
      </c>
      <c r="L151" s="1" t="s">
        <v>85</v>
      </c>
      <c r="M151" s="1" t="s">
        <v>80</v>
      </c>
      <c r="N151" s="1" t="s">
        <v>28</v>
      </c>
      <c r="O151" s="1" t="s">
        <v>31</v>
      </c>
      <c r="P151" s="1" t="s">
        <v>32</v>
      </c>
      <c r="Q151" s="4">
        <v>1951.84</v>
      </c>
      <c r="R151" s="1">
        <v>8</v>
      </c>
      <c r="S151" s="5">
        <v>0</v>
      </c>
      <c r="T151" s="4">
        <v>585.55200000000002</v>
      </c>
      <c r="U151" s="6" t="str">
        <f t="shared" si="7"/>
        <v>Profit</v>
      </c>
      <c r="V151" s="6" t="str">
        <f t="shared" si="8"/>
        <v>High Sales</v>
      </c>
    </row>
    <row r="152" spans="1:22" x14ac:dyDescent="0.3">
      <c r="A152" s="1">
        <v>151</v>
      </c>
      <c r="B152" s="2">
        <v>41614</v>
      </c>
      <c r="C152" s="1">
        <v>2013</v>
      </c>
      <c r="D152" s="3" t="s">
        <v>71</v>
      </c>
      <c r="E152" s="2">
        <v>41618</v>
      </c>
      <c r="F152" s="1">
        <f t="shared" si="6"/>
        <v>4</v>
      </c>
      <c r="G152" s="1" t="s">
        <v>43</v>
      </c>
      <c r="H152" s="1" t="s">
        <v>341</v>
      </c>
      <c r="I152" s="1" t="s">
        <v>35</v>
      </c>
      <c r="J152" s="1" t="s">
        <v>24</v>
      </c>
      <c r="K152" s="1" t="s">
        <v>342</v>
      </c>
      <c r="L152" s="1" t="s">
        <v>85</v>
      </c>
      <c r="M152" s="1" t="s">
        <v>80</v>
      </c>
      <c r="N152" s="1" t="s">
        <v>39</v>
      </c>
      <c r="O152" s="1" t="s">
        <v>59</v>
      </c>
      <c r="P152" s="1" t="s">
        <v>345</v>
      </c>
      <c r="Q152" s="4">
        <v>171.55</v>
      </c>
      <c r="R152" s="1">
        <v>5</v>
      </c>
      <c r="S152" s="5">
        <v>0</v>
      </c>
      <c r="T152" s="4">
        <v>80.628500000000003</v>
      </c>
      <c r="U152" s="6" t="str">
        <f t="shared" si="7"/>
        <v>Profit</v>
      </c>
      <c r="V152" s="6" t="str">
        <f t="shared" si="8"/>
        <v>Low Sales</v>
      </c>
    </row>
    <row r="153" spans="1:22" x14ac:dyDescent="0.3">
      <c r="A153" s="1">
        <v>152</v>
      </c>
      <c r="B153" s="2">
        <v>41347</v>
      </c>
      <c r="C153" s="1">
        <v>2013</v>
      </c>
      <c r="D153" s="3" t="s">
        <v>148</v>
      </c>
      <c r="E153" s="2">
        <v>41350</v>
      </c>
      <c r="F153" s="1">
        <f t="shared" si="6"/>
        <v>3</v>
      </c>
      <c r="G153" s="1" t="s">
        <v>129</v>
      </c>
      <c r="H153" s="1" t="s">
        <v>346</v>
      </c>
      <c r="I153" s="1" t="s">
        <v>77</v>
      </c>
      <c r="J153" s="1" t="s">
        <v>24</v>
      </c>
      <c r="K153" s="1" t="s">
        <v>347</v>
      </c>
      <c r="L153" s="1" t="s">
        <v>194</v>
      </c>
      <c r="M153" s="1" t="s">
        <v>38</v>
      </c>
      <c r="N153" s="1" t="s">
        <v>39</v>
      </c>
      <c r="O153" s="1" t="s">
        <v>61</v>
      </c>
      <c r="P153" s="1" t="s">
        <v>348</v>
      </c>
      <c r="Q153" s="4">
        <v>157.91999999999999</v>
      </c>
      <c r="R153" s="1">
        <v>5</v>
      </c>
      <c r="S153" s="5">
        <v>0.2</v>
      </c>
      <c r="T153" s="4">
        <v>17.765999999999998</v>
      </c>
      <c r="U153" s="6" t="str">
        <f t="shared" si="7"/>
        <v>Profit</v>
      </c>
      <c r="V153" s="6" t="str">
        <f t="shared" si="8"/>
        <v>Low Sales</v>
      </c>
    </row>
    <row r="154" spans="1:22" x14ac:dyDescent="0.3">
      <c r="A154" s="1">
        <v>153</v>
      </c>
      <c r="B154" s="2">
        <v>41347</v>
      </c>
      <c r="C154" s="1">
        <v>2013</v>
      </c>
      <c r="D154" s="3" t="s">
        <v>148</v>
      </c>
      <c r="E154" s="2">
        <v>41350</v>
      </c>
      <c r="F154" s="1">
        <f t="shared" si="6"/>
        <v>3</v>
      </c>
      <c r="G154" s="1" t="s">
        <v>129</v>
      </c>
      <c r="H154" s="1" t="s">
        <v>346</v>
      </c>
      <c r="I154" s="1" t="s">
        <v>77</v>
      </c>
      <c r="J154" s="1" t="s">
        <v>24</v>
      </c>
      <c r="K154" s="1" t="s">
        <v>347</v>
      </c>
      <c r="L154" s="1" t="s">
        <v>194</v>
      </c>
      <c r="M154" s="1" t="s">
        <v>38</v>
      </c>
      <c r="N154" s="1" t="s">
        <v>56</v>
      </c>
      <c r="O154" s="1" t="s">
        <v>57</v>
      </c>
      <c r="P154" s="1" t="s">
        <v>349</v>
      </c>
      <c r="Q154" s="4">
        <v>203.184</v>
      </c>
      <c r="R154" s="1">
        <v>2</v>
      </c>
      <c r="S154" s="5">
        <v>0.2</v>
      </c>
      <c r="T154" s="4">
        <v>15.238799999999999</v>
      </c>
      <c r="U154" s="6" t="str">
        <f t="shared" si="7"/>
        <v>Profit</v>
      </c>
      <c r="V154" s="6" t="str">
        <f t="shared" si="8"/>
        <v>Low Sales</v>
      </c>
    </row>
    <row r="155" spans="1:22" x14ac:dyDescent="0.3">
      <c r="A155" s="1">
        <v>154</v>
      </c>
      <c r="B155" s="2">
        <v>41060</v>
      </c>
      <c r="C155" s="1">
        <v>2012</v>
      </c>
      <c r="D155" s="3" t="s">
        <v>87</v>
      </c>
      <c r="E155" s="2">
        <v>41062</v>
      </c>
      <c r="F155" s="1">
        <f t="shared" si="6"/>
        <v>2</v>
      </c>
      <c r="G155" s="1" t="s">
        <v>129</v>
      </c>
      <c r="H155" s="1" t="s">
        <v>350</v>
      </c>
      <c r="I155" s="1" t="s">
        <v>35</v>
      </c>
      <c r="J155" s="1" t="s">
        <v>24</v>
      </c>
      <c r="K155" s="1" t="s">
        <v>351</v>
      </c>
      <c r="L155" s="1" t="s">
        <v>37</v>
      </c>
      <c r="M155" s="1" t="s">
        <v>38</v>
      </c>
      <c r="N155" s="1" t="s">
        <v>39</v>
      </c>
      <c r="O155" s="1" t="s">
        <v>69</v>
      </c>
      <c r="P155" s="1" t="s">
        <v>352</v>
      </c>
      <c r="Q155" s="4">
        <v>58.38</v>
      </c>
      <c r="R155" s="1">
        <v>7</v>
      </c>
      <c r="S155" s="5">
        <v>0</v>
      </c>
      <c r="T155" s="4">
        <v>26.271000000000001</v>
      </c>
      <c r="U155" s="6" t="str">
        <f t="shared" si="7"/>
        <v>Profit</v>
      </c>
      <c r="V155" s="6" t="str">
        <f t="shared" si="8"/>
        <v>Low Sales</v>
      </c>
    </row>
    <row r="156" spans="1:22" x14ac:dyDescent="0.3">
      <c r="A156" s="1">
        <v>155</v>
      </c>
      <c r="B156" s="2">
        <v>41060</v>
      </c>
      <c r="C156" s="1">
        <v>2012</v>
      </c>
      <c r="D156" s="3" t="s">
        <v>87</v>
      </c>
      <c r="E156" s="2">
        <v>41062</v>
      </c>
      <c r="F156" s="1">
        <f t="shared" si="6"/>
        <v>2</v>
      </c>
      <c r="G156" s="1" t="s">
        <v>129</v>
      </c>
      <c r="H156" s="1" t="s">
        <v>350</v>
      </c>
      <c r="I156" s="1" t="s">
        <v>35</v>
      </c>
      <c r="J156" s="1" t="s">
        <v>24</v>
      </c>
      <c r="K156" s="1" t="s">
        <v>351</v>
      </c>
      <c r="L156" s="1" t="s">
        <v>37</v>
      </c>
      <c r="M156" s="1" t="s">
        <v>38</v>
      </c>
      <c r="N156" s="1" t="s">
        <v>39</v>
      </c>
      <c r="O156" s="1" t="s">
        <v>69</v>
      </c>
      <c r="P156" s="1" t="s">
        <v>353</v>
      </c>
      <c r="Q156" s="4">
        <v>105.52</v>
      </c>
      <c r="R156" s="1">
        <v>4</v>
      </c>
      <c r="S156" s="5">
        <v>0</v>
      </c>
      <c r="T156" s="4">
        <v>48.539200000000001</v>
      </c>
      <c r="U156" s="6" t="str">
        <f t="shared" si="7"/>
        <v>Profit</v>
      </c>
      <c r="V156" s="6" t="str">
        <f t="shared" si="8"/>
        <v>Low Sales</v>
      </c>
    </row>
    <row r="157" spans="1:22" x14ac:dyDescent="0.3">
      <c r="A157" s="1">
        <v>156</v>
      </c>
      <c r="B157" s="2">
        <v>41060</v>
      </c>
      <c r="C157" s="1">
        <v>2012</v>
      </c>
      <c r="D157" s="3" t="s">
        <v>87</v>
      </c>
      <c r="E157" s="2">
        <v>41062</v>
      </c>
      <c r="F157" s="1">
        <f t="shared" si="6"/>
        <v>2</v>
      </c>
      <c r="G157" s="1" t="s">
        <v>129</v>
      </c>
      <c r="H157" s="1" t="s">
        <v>350</v>
      </c>
      <c r="I157" s="1" t="s">
        <v>35</v>
      </c>
      <c r="J157" s="1" t="s">
        <v>24</v>
      </c>
      <c r="K157" s="1" t="s">
        <v>351</v>
      </c>
      <c r="L157" s="1" t="s">
        <v>37</v>
      </c>
      <c r="M157" s="1" t="s">
        <v>38</v>
      </c>
      <c r="N157" s="1" t="s">
        <v>39</v>
      </c>
      <c r="O157" s="1" t="s">
        <v>49</v>
      </c>
      <c r="P157" s="1" t="s">
        <v>354</v>
      </c>
      <c r="Q157" s="4">
        <v>80.88</v>
      </c>
      <c r="R157" s="1">
        <v>6</v>
      </c>
      <c r="S157" s="5">
        <v>0</v>
      </c>
      <c r="T157" s="4">
        <v>21.0288</v>
      </c>
      <c r="U157" s="6" t="str">
        <f t="shared" si="7"/>
        <v>Profit</v>
      </c>
      <c r="V157" s="6" t="str">
        <f t="shared" si="8"/>
        <v>Low Sales</v>
      </c>
    </row>
    <row r="158" spans="1:22" x14ac:dyDescent="0.3">
      <c r="A158" s="1">
        <v>157</v>
      </c>
      <c r="B158" s="2">
        <v>41057</v>
      </c>
      <c r="C158" s="1">
        <v>2012</v>
      </c>
      <c r="D158" s="3" t="s">
        <v>87</v>
      </c>
      <c r="E158" s="2">
        <v>41063</v>
      </c>
      <c r="F158" s="1">
        <f t="shared" si="6"/>
        <v>6</v>
      </c>
      <c r="G158" s="1" t="s">
        <v>43</v>
      </c>
      <c r="H158" s="1" t="s">
        <v>355</v>
      </c>
      <c r="I158" s="1" t="s">
        <v>77</v>
      </c>
      <c r="J158" s="1" t="s">
        <v>24</v>
      </c>
      <c r="K158" s="1" t="s">
        <v>73</v>
      </c>
      <c r="L158" s="1" t="s">
        <v>74</v>
      </c>
      <c r="M158" s="1" t="s">
        <v>38</v>
      </c>
      <c r="N158" s="1" t="s">
        <v>39</v>
      </c>
      <c r="O158" s="1" t="s">
        <v>54</v>
      </c>
      <c r="P158" s="1" t="s">
        <v>356</v>
      </c>
      <c r="Q158" s="4">
        <v>6.63</v>
      </c>
      <c r="R158" s="1">
        <v>3</v>
      </c>
      <c r="S158" s="5">
        <v>0</v>
      </c>
      <c r="T158" s="4">
        <v>1.7901</v>
      </c>
      <c r="U158" s="6" t="str">
        <f t="shared" si="7"/>
        <v>Profit</v>
      </c>
      <c r="V158" s="6" t="str">
        <f t="shared" si="8"/>
        <v>Low Sales</v>
      </c>
    </row>
    <row r="159" spans="1:22" x14ac:dyDescent="0.3">
      <c r="A159" s="1">
        <v>158</v>
      </c>
      <c r="B159" s="2">
        <v>40603</v>
      </c>
      <c r="C159" s="1">
        <v>2011</v>
      </c>
      <c r="D159" s="3" t="s">
        <v>148</v>
      </c>
      <c r="E159" s="2">
        <v>40608</v>
      </c>
      <c r="F159" s="1">
        <f t="shared" si="6"/>
        <v>5</v>
      </c>
      <c r="G159" s="1" t="s">
        <v>21</v>
      </c>
      <c r="H159" s="1" t="s">
        <v>357</v>
      </c>
      <c r="I159" s="1" t="s">
        <v>23</v>
      </c>
      <c r="J159" s="1" t="s">
        <v>24</v>
      </c>
      <c r="K159" s="1" t="s">
        <v>73</v>
      </c>
      <c r="L159" s="1" t="s">
        <v>74</v>
      </c>
      <c r="M159" s="1" t="s">
        <v>38</v>
      </c>
      <c r="N159" s="1" t="s">
        <v>28</v>
      </c>
      <c r="O159" s="1" t="s">
        <v>31</v>
      </c>
      <c r="P159" s="1" t="s">
        <v>303</v>
      </c>
      <c r="Q159" s="4">
        <v>457.56799999999998</v>
      </c>
      <c r="R159" s="1">
        <v>2</v>
      </c>
      <c r="S159" s="5">
        <v>0.2</v>
      </c>
      <c r="T159" s="4">
        <v>51.476399999999998</v>
      </c>
      <c r="U159" s="6" t="str">
        <f t="shared" si="7"/>
        <v>Profit</v>
      </c>
      <c r="V159" s="6" t="str">
        <f t="shared" si="8"/>
        <v>Low Sales</v>
      </c>
    </row>
    <row r="160" spans="1:22" x14ac:dyDescent="0.3">
      <c r="A160" s="1">
        <v>159</v>
      </c>
      <c r="B160" s="2">
        <v>41599</v>
      </c>
      <c r="C160" s="1">
        <v>2013</v>
      </c>
      <c r="D160" s="3" t="s">
        <v>20</v>
      </c>
      <c r="E160" s="2">
        <v>41603</v>
      </c>
      <c r="F160" s="1">
        <f t="shared" si="6"/>
        <v>4</v>
      </c>
      <c r="G160" s="1" t="s">
        <v>43</v>
      </c>
      <c r="H160" s="1" t="s">
        <v>358</v>
      </c>
      <c r="I160" s="1" t="s">
        <v>23</v>
      </c>
      <c r="J160" s="1" t="s">
        <v>24</v>
      </c>
      <c r="K160" s="1" t="s">
        <v>359</v>
      </c>
      <c r="L160" s="1" t="s">
        <v>360</v>
      </c>
      <c r="M160" s="1" t="s">
        <v>80</v>
      </c>
      <c r="N160" s="1" t="s">
        <v>39</v>
      </c>
      <c r="O160" s="1" t="s">
        <v>40</v>
      </c>
      <c r="P160" s="1" t="s">
        <v>361</v>
      </c>
      <c r="Q160" s="4">
        <v>14.62</v>
      </c>
      <c r="R160" s="1">
        <v>2</v>
      </c>
      <c r="S160" s="5">
        <v>0</v>
      </c>
      <c r="T160" s="4">
        <v>6.8714000000000004</v>
      </c>
      <c r="U160" s="6" t="str">
        <f t="shared" si="7"/>
        <v>Profit</v>
      </c>
      <c r="V160" s="6" t="str">
        <f t="shared" si="8"/>
        <v>Low Sales</v>
      </c>
    </row>
    <row r="161" spans="1:22" x14ac:dyDescent="0.3">
      <c r="A161" s="1">
        <v>160</v>
      </c>
      <c r="B161" s="2">
        <v>41599</v>
      </c>
      <c r="C161" s="1">
        <v>2013</v>
      </c>
      <c r="D161" s="3" t="s">
        <v>20</v>
      </c>
      <c r="E161" s="2">
        <v>41603</v>
      </c>
      <c r="F161" s="1">
        <f t="shared" si="6"/>
        <v>4</v>
      </c>
      <c r="G161" s="1" t="s">
        <v>43</v>
      </c>
      <c r="H161" s="1" t="s">
        <v>358</v>
      </c>
      <c r="I161" s="1" t="s">
        <v>23</v>
      </c>
      <c r="J161" s="1" t="s">
        <v>24</v>
      </c>
      <c r="K161" s="1" t="s">
        <v>359</v>
      </c>
      <c r="L161" s="1" t="s">
        <v>360</v>
      </c>
      <c r="M161" s="1" t="s">
        <v>80</v>
      </c>
      <c r="N161" s="1" t="s">
        <v>56</v>
      </c>
      <c r="O161" s="1" t="s">
        <v>57</v>
      </c>
      <c r="P161" s="1" t="s">
        <v>362</v>
      </c>
      <c r="Q161" s="4">
        <v>944.93</v>
      </c>
      <c r="R161" s="1">
        <v>7</v>
      </c>
      <c r="S161" s="5">
        <v>0</v>
      </c>
      <c r="T161" s="4">
        <v>236.23249999999999</v>
      </c>
      <c r="U161" s="6" t="str">
        <f t="shared" si="7"/>
        <v>Profit</v>
      </c>
      <c r="V161" s="6" t="str">
        <f t="shared" si="8"/>
        <v>Medium Sales</v>
      </c>
    </row>
    <row r="162" spans="1:22" x14ac:dyDescent="0.3">
      <c r="A162" s="1">
        <v>161</v>
      </c>
      <c r="B162" s="2">
        <v>41406</v>
      </c>
      <c r="C162" s="1">
        <v>2013</v>
      </c>
      <c r="D162" s="3" t="s">
        <v>87</v>
      </c>
      <c r="E162" s="2">
        <v>41407</v>
      </c>
      <c r="F162" s="1">
        <f t="shared" si="6"/>
        <v>1</v>
      </c>
      <c r="G162" s="1" t="s">
        <v>129</v>
      </c>
      <c r="H162" s="1" t="s">
        <v>363</v>
      </c>
      <c r="I162" s="1" t="s">
        <v>23</v>
      </c>
      <c r="J162" s="1" t="s">
        <v>24</v>
      </c>
      <c r="K162" s="1" t="s">
        <v>36</v>
      </c>
      <c r="L162" s="1" t="s">
        <v>37</v>
      </c>
      <c r="M162" s="1" t="s">
        <v>38</v>
      </c>
      <c r="N162" s="1" t="s">
        <v>39</v>
      </c>
      <c r="O162" s="1" t="s">
        <v>69</v>
      </c>
      <c r="P162" s="1" t="s">
        <v>364</v>
      </c>
      <c r="Q162" s="4">
        <v>5.98</v>
      </c>
      <c r="R162" s="1">
        <v>1</v>
      </c>
      <c r="S162" s="5">
        <v>0</v>
      </c>
      <c r="T162" s="4">
        <v>2.6909999999999998</v>
      </c>
      <c r="U162" s="6" t="str">
        <f t="shared" si="7"/>
        <v>Profit</v>
      </c>
      <c r="V162" s="6" t="str">
        <f t="shared" si="8"/>
        <v>Low Sales</v>
      </c>
    </row>
    <row r="163" spans="1:22" x14ac:dyDescent="0.3">
      <c r="A163" s="1">
        <v>162</v>
      </c>
      <c r="B163" s="2">
        <v>41271</v>
      </c>
      <c r="C163" s="1">
        <v>2012</v>
      </c>
      <c r="D163" s="3" t="s">
        <v>71</v>
      </c>
      <c r="E163" s="2">
        <v>41274</v>
      </c>
      <c r="F163" s="1">
        <f t="shared" si="6"/>
        <v>3</v>
      </c>
      <c r="G163" s="1" t="s">
        <v>21</v>
      </c>
      <c r="H163" s="1" t="s">
        <v>365</v>
      </c>
      <c r="I163" s="1" t="s">
        <v>23</v>
      </c>
      <c r="J163" s="1" t="s">
        <v>24</v>
      </c>
      <c r="K163" s="1" t="s">
        <v>105</v>
      </c>
      <c r="L163" s="1" t="s">
        <v>106</v>
      </c>
      <c r="M163" s="1" t="s">
        <v>107</v>
      </c>
      <c r="N163" s="1" t="s">
        <v>56</v>
      </c>
      <c r="O163" s="1" t="s">
        <v>115</v>
      </c>
      <c r="P163" s="1" t="s">
        <v>366</v>
      </c>
      <c r="Q163" s="4">
        <v>54.384</v>
      </c>
      <c r="R163" s="1">
        <v>2</v>
      </c>
      <c r="S163" s="5">
        <v>0.2</v>
      </c>
      <c r="T163" s="4">
        <v>1.3595999999999999</v>
      </c>
      <c r="U163" s="6" t="str">
        <f t="shared" si="7"/>
        <v>Profit</v>
      </c>
      <c r="V163" s="6" t="str">
        <f t="shared" si="8"/>
        <v>Low Sales</v>
      </c>
    </row>
    <row r="164" spans="1:22" x14ac:dyDescent="0.3">
      <c r="A164" s="1">
        <v>163</v>
      </c>
      <c r="B164" s="2">
        <v>41595</v>
      </c>
      <c r="C164" s="1">
        <v>2013</v>
      </c>
      <c r="D164" s="3" t="s">
        <v>20</v>
      </c>
      <c r="E164" s="2">
        <v>41599</v>
      </c>
      <c r="F164" s="1">
        <f t="shared" si="6"/>
        <v>4</v>
      </c>
      <c r="G164" s="1" t="s">
        <v>43</v>
      </c>
      <c r="H164" s="1" t="s">
        <v>367</v>
      </c>
      <c r="I164" s="1" t="s">
        <v>23</v>
      </c>
      <c r="J164" s="1" t="s">
        <v>24</v>
      </c>
      <c r="K164" s="1" t="s">
        <v>368</v>
      </c>
      <c r="L164" s="1" t="s">
        <v>369</v>
      </c>
      <c r="M164" s="1" t="s">
        <v>38</v>
      </c>
      <c r="N164" s="1" t="s">
        <v>39</v>
      </c>
      <c r="O164" s="1" t="s">
        <v>121</v>
      </c>
      <c r="P164" s="1" t="s">
        <v>128</v>
      </c>
      <c r="Q164" s="4">
        <v>28.4</v>
      </c>
      <c r="R164" s="1">
        <v>5</v>
      </c>
      <c r="S164" s="5">
        <v>0</v>
      </c>
      <c r="T164" s="4">
        <v>13.348000000000001</v>
      </c>
      <c r="U164" s="6" t="str">
        <f t="shared" si="7"/>
        <v>Profit</v>
      </c>
      <c r="V164" s="6" t="str">
        <f t="shared" si="8"/>
        <v>Low Sales</v>
      </c>
    </row>
    <row r="165" spans="1:22" x14ac:dyDescent="0.3">
      <c r="A165" s="1">
        <v>164</v>
      </c>
      <c r="B165" s="2">
        <v>41586</v>
      </c>
      <c r="C165" s="1">
        <v>2013</v>
      </c>
      <c r="D165" s="3" t="s">
        <v>20</v>
      </c>
      <c r="E165" s="2">
        <v>41590</v>
      </c>
      <c r="F165" s="1">
        <f t="shared" si="6"/>
        <v>4</v>
      </c>
      <c r="G165" s="1" t="s">
        <v>43</v>
      </c>
      <c r="H165" s="1" t="s">
        <v>370</v>
      </c>
      <c r="I165" s="1" t="s">
        <v>23</v>
      </c>
      <c r="J165" s="1" t="s">
        <v>24</v>
      </c>
      <c r="K165" s="1" t="s">
        <v>73</v>
      </c>
      <c r="L165" s="1" t="s">
        <v>74</v>
      </c>
      <c r="M165" s="1" t="s">
        <v>38</v>
      </c>
      <c r="N165" s="1" t="s">
        <v>39</v>
      </c>
      <c r="O165" s="1" t="s">
        <v>59</v>
      </c>
      <c r="P165" s="1" t="s">
        <v>371</v>
      </c>
      <c r="Q165" s="4">
        <v>27.68</v>
      </c>
      <c r="R165" s="1">
        <v>2</v>
      </c>
      <c r="S165" s="5">
        <v>0.2</v>
      </c>
      <c r="T165" s="4">
        <v>9.6880000000000006</v>
      </c>
      <c r="U165" s="6" t="str">
        <f t="shared" si="7"/>
        <v>Profit</v>
      </c>
      <c r="V165" s="6" t="str">
        <f t="shared" si="8"/>
        <v>Low Sales</v>
      </c>
    </row>
    <row r="166" spans="1:22" x14ac:dyDescent="0.3">
      <c r="A166" s="1">
        <v>165</v>
      </c>
      <c r="B166" s="2">
        <v>40794</v>
      </c>
      <c r="C166" s="1">
        <v>2011</v>
      </c>
      <c r="D166" s="3" t="s">
        <v>109</v>
      </c>
      <c r="E166" s="2">
        <v>40798</v>
      </c>
      <c r="F166" s="1">
        <f t="shared" si="6"/>
        <v>4</v>
      </c>
      <c r="G166" s="1" t="s">
        <v>43</v>
      </c>
      <c r="H166" s="1" t="s">
        <v>372</v>
      </c>
      <c r="I166" s="1" t="s">
        <v>23</v>
      </c>
      <c r="J166" s="1" t="s">
        <v>24</v>
      </c>
      <c r="K166" s="1" t="s">
        <v>373</v>
      </c>
      <c r="L166" s="1" t="s">
        <v>79</v>
      </c>
      <c r="M166" s="1" t="s">
        <v>80</v>
      </c>
      <c r="N166" s="1" t="s">
        <v>39</v>
      </c>
      <c r="O166" s="1" t="s">
        <v>54</v>
      </c>
      <c r="P166" s="1" t="s">
        <v>374</v>
      </c>
      <c r="Q166" s="4">
        <v>9.9359999999999999</v>
      </c>
      <c r="R166" s="1">
        <v>3</v>
      </c>
      <c r="S166" s="5">
        <v>0.2</v>
      </c>
      <c r="T166" s="4">
        <v>2.7324000000000002</v>
      </c>
      <c r="U166" s="6" t="str">
        <f t="shared" si="7"/>
        <v>Profit</v>
      </c>
      <c r="V166" s="6" t="str">
        <f t="shared" si="8"/>
        <v>Low Sales</v>
      </c>
    </row>
    <row r="167" spans="1:22" x14ac:dyDescent="0.3">
      <c r="A167" s="1">
        <v>166</v>
      </c>
      <c r="B167" s="2">
        <v>40794</v>
      </c>
      <c r="C167" s="1">
        <v>2011</v>
      </c>
      <c r="D167" s="3" t="s">
        <v>109</v>
      </c>
      <c r="E167" s="2">
        <v>40798</v>
      </c>
      <c r="F167" s="1">
        <f t="shared" si="6"/>
        <v>4</v>
      </c>
      <c r="G167" s="1" t="s">
        <v>43</v>
      </c>
      <c r="H167" s="1" t="s">
        <v>372</v>
      </c>
      <c r="I167" s="1" t="s">
        <v>23</v>
      </c>
      <c r="J167" s="1" t="s">
        <v>24</v>
      </c>
      <c r="K167" s="1" t="s">
        <v>373</v>
      </c>
      <c r="L167" s="1" t="s">
        <v>79</v>
      </c>
      <c r="M167" s="1" t="s">
        <v>80</v>
      </c>
      <c r="N167" s="1" t="s">
        <v>56</v>
      </c>
      <c r="O167" s="1" t="s">
        <v>375</v>
      </c>
      <c r="P167" s="1" t="s">
        <v>376</v>
      </c>
      <c r="Q167" s="4">
        <v>8159.9520000000002</v>
      </c>
      <c r="R167" s="1">
        <v>8</v>
      </c>
      <c r="S167" s="5">
        <v>0.4</v>
      </c>
      <c r="T167" s="4">
        <v>-1359.992</v>
      </c>
      <c r="U167" s="6" t="str">
        <f t="shared" si="7"/>
        <v>Loss</v>
      </c>
      <c r="V167" s="6" t="str">
        <f t="shared" si="8"/>
        <v>High Sales</v>
      </c>
    </row>
    <row r="168" spans="1:22" x14ac:dyDescent="0.3">
      <c r="A168" s="1">
        <v>167</v>
      </c>
      <c r="B168" s="2">
        <v>40794</v>
      </c>
      <c r="C168" s="1">
        <v>2011</v>
      </c>
      <c r="D168" s="3" t="s">
        <v>109</v>
      </c>
      <c r="E168" s="2">
        <v>40798</v>
      </c>
      <c r="F168" s="1">
        <f t="shared" si="6"/>
        <v>4</v>
      </c>
      <c r="G168" s="1" t="s">
        <v>43</v>
      </c>
      <c r="H168" s="1" t="s">
        <v>372</v>
      </c>
      <c r="I168" s="1" t="s">
        <v>23</v>
      </c>
      <c r="J168" s="1" t="s">
        <v>24</v>
      </c>
      <c r="K168" s="1" t="s">
        <v>373</v>
      </c>
      <c r="L168" s="1" t="s">
        <v>79</v>
      </c>
      <c r="M168" s="1" t="s">
        <v>80</v>
      </c>
      <c r="N168" s="1" t="s">
        <v>39</v>
      </c>
      <c r="O168" s="1" t="s">
        <v>49</v>
      </c>
      <c r="P168" s="1" t="s">
        <v>377</v>
      </c>
      <c r="Q168" s="4">
        <v>275.928</v>
      </c>
      <c r="R168" s="1">
        <v>3</v>
      </c>
      <c r="S168" s="5">
        <v>0.2</v>
      </c>
      <c r="T168" s="4">
        <v>-58.634700000000002</v>
      </c>
      <c r="U168" s="6" t="str">
        <f t="shared" si="7"/>
        <v>Loss</v>
      </c>
      <c r="V168" s="6" t="str">
        <f t="shared" si="8"/>
        <v>Low Sales</v>
      </c>
    </row>
    <row r="169" spans="1:22" x14ac:dyDescent="0.3">
      <c r="A169" s="1">
        <v>168</v>
      </c>
      <c r="B169" s="2">
        <v>40794</v>
      </c>
      <c r="C169" s="1">
        <v>2011</v>
      </c>
      <c r="D169" s="3" t="s">
        <v>109</v>
      </c>
      <c r="E169" s="2">
        <v>40798</v>
      </c>
      <c r="F169" s="1">
        <f t="shared" si="6"/>
        <v>4</v>
      </c>
      <c r="G169" s="1" t="s">
        <v>43</v>
      </c>
      <c r="H169" s="1" t="s">
        <v>372</v>
      </c>
      <c r="I169" s="1" t="s">
        <v>23</v>
      </c>
      <c r="J169" s="1" t="s">
        <v>24</v>
      </c>
      <c r="K169" s="1" t="s">
        <v>373</v>
      </c>
      <c r="L169" s="1" t="s">
        <v>79</v>
      </c>
      <c r="M169" s="1" t="s">
        <v>80</v>
      </c>
      <c r="N169" s="1" t="s">
        <v>28</v>
      </c>
      <c r="O169" s="1" t="s">
        <v>31</v>
      </c>
      <c r="P169" s="1" t="s">
        <v>378</v>
      </c>
      <c r="Q169" s="4">
        <v>1740.06</v>
      </c>
      <c r="R169" s="1">
        <v>9</v>
      </c>
      <c r="S169" s="5">
        <v>0.3</v>
      </c>
      <c r="T169" s="4">
        <v>-24.858000000000001</v>
      </c>
      <c r="U169" s="6" t="str">
        <f t="shared" si="7"/>
        <v>Loss</v>
      </c>
      <c r="V169" s="6" t="str">
        <f t="shared" si="8"/>
        <v>High Sales</v>
      </c>
    </row>
    <row r="170" spans="1:22" x14ac:dyDescent="0.3">
      <c r="A170" s="1">
        <v>169</v>
      </c>
      <c r="B170" s="2">
        <v>40794</v>
      </c>
      <c r="C170" s="1">
        <v>2011</v>
      </c>
      <c r="D170" s="3" t="s">
        <v>109</v>
      </c>
      <c r="E170" s="2">
        <v>40798</v>
      </c>
      <c r="F170" s="1">
        <f t="shared" si="6"/>
        <v>4</v>
      </c>
      <c r="G170" s="1" t="s">
        <v>43</v>
      </c>
      <c r="H170" s="1" t="s">
        <v>372</v>
      </c>
      <c r="I170" s="1" t="s">
        <v>23</v>
      </c>
      <c r="J170" s="1" t="s">
        <v>24</v>
      </c>
      <c r="K170" s="1" t="s">
        <v>373</v>
      </c>
      <c r="L170" s="1" t="s">
        <v>79</v>
      </c>
      <c r="M170" s="1" t="s">
        <v>80</v>
      </c>
      <c r="N170" s="1" t="s">
        <v>39</v>
      </c>
      <c r="O170" s="1" t="s">
        <v>54</v>
      </c>
      <c r="P170" s="1" t="s">
        <v>379</v>
      </c>
      <c r="Q170" s="4">
        <v>32.064</v>
      </c>
      <c r="R170" s="1">
        <v>6</v>
      </c>
      <c r="S170" s="5">
        <v>0.2</v>
      </c>
      <c r="T170" s="4">
        <v>6.8136000000000001</v>
      </c>
      <c r="U170" s="6" t="str">
        <f t="shared" si="7"/>
        <v>Profit</v>
      </c>
      <c r="V170" s="6" t="str">
        <f t="shared" si="8"/>
        <v>Low Sales</v>
      </c>
    </row>
    <row r="171" spans="1:22" x14ac:dyDescent="0.3">
      <c r="A171" s="1">
        <v>170</v>
      </c>
      <c r="B171" s="2">
        <v>40794</v>
      </c>
      <c r="C171" s="1">
        <v>2011</v>
      </c>
      <c r="D171" s="3" t="s">
        <v>109</v>
      </c>
      <c r="E171" s="2">
        <v>40798</v>
      </c>
      <c r="F171" s="1">
        <f t="shared" si="6"/>
        <v>4</v>
      </c>
      <c r="G171" s="1" t="s">
        <v>43</v>
      </c>
      <c r="H171" s="1" t="s">
        <v>372</v>
      </c>
      <c r="I171" s="1" t="s">
        <v>23</v>
      </c>
      <c r="J171" s="1" t="s">
        <v>24</v>
      </c>
      <c r="K171" s="1" t="s">
        <v>373</v>
      </c>
      <c r="L171" s="1" t="s">
        <v>79</v>
      </c>
      <c r="M171" s="1" t="s">
        <v>80</v>
      </c>
      <c r="N171" s="1" t="s">
        <v>39</v>
      </c>
      <c r="O171" s="1" t="s">
        <v>61</v>
      </c>
      <c r="P171" s="1" t="s">
        <v>380</v>
      </c>
      <c r="Q171" s="4">
        <v>177.98</v>
      </c>
      <c r="R171" s="1">
        <v>5</v>
      </c>
      <c r="S171" s="5">
        <v>0.8</v>
      </c>
      <c r="T171" s="4">
        <v>-453.84899999999999</v>
      </c>
      <c r="U171" s="6" t="str">
        <f t="shared" si="7"/>
        <v>Loss</v>
      </c>
      <c r="V171" s="6" t="str">
        <f t="shared" si="8"/>
        <v>Low Sales</v>
      </c>
    </row>
    <row r="172" spans="1:22" x14ac:dyDescent="0.3">
      <c r="A172" s="1">
        <v>171</v>
      </c>
      <c r="B172" s="2">
        <v>40794</v>
      </c>
      <c r="C172" s="1">
        <v>2011</v>
      </c>
      <c r="D172" s="3" t="s">
        <v>109</v>
      </c>
      <c r="E172" s="2">
        <v>40798</v>
      </c>
      <c r="F172" s="1">
        <f t="shared" si="6"/>
        <v>4</v>
      </c>
      <c r="G172" s="1" t="s">
        <v>43</v>
      </c>
      <c r="H172" s="1" t="s">
        <v>372</v>
      </c>
      <c r="I172" s="1" t="s">
        <v>23</v>
      </c>
      <c r="J172" s="1" t="s">
        <v>24</v>
      </c>
      <c r="K172" s="1" t="s">
        <v>373</v>
      </c>
      <c r="L172" s="1" t="s">
        <v>79</v>
      </c>
      <c r="M172" s="1" t="s">
        <v>80</v>
      </c>
      <c r="N172" s="1" t="s">
        <v>56</v>
      </c>
      <c r="O172" s="1" t="s">
        <v>57</v>
      </c>
      <c r="P172" s="1" t="s">
        <v>381</v>
      </c>
      <c r="Q172" s="4">
        <v>143.976</v>
      </c>
      <c r="R172" s="1">
        <v>3</v>
      </c>
      <c r="S172" s="5">
        <v>0.2</v>
      </c>
      <c r="T172" s="4">
        <v>8.9984999999999999</v>
      </c>
      <c r="U172" s="6" t="str">
        <f t="shared" si="7"/>
        <v>Profit</v>
      </c>
      <c r="V172" s="6" t="str">
        <f t="shared" si="8"/>
        <v>Low Sales</v>
      </c>
    </row>
    <row r="173" spans="1:22" x14ac:dyDescent="0.3">
      <c r="A173" s="1">
        <v>172</v>
      </c>
      <c r="B173" s="2">
        <v>40760</v>
      </c>
      <c r="C173" s="1">
        <v>2011</v>
      </c>
      <c r="D173" s="3" t="s">
        <v>92</v>
      </c>
      <c r="E173" s="2">
        <v>40764</v>
      </c>
      <c r="F173" s="1">
        <f t="shared" si="6"/>
        <v>4</v>
      </c>
      <c r="G173" s="1" t="s">
        <v>43</v>
      </c>
      <c r="H173" s="1" t="s">
        <v>382</v>
      </c>
      <c r="I173" s="1" t="s">
        <v>23</v>
      </c>
      <c r="J173" s="1" t="s">
        <v>24</v>
      </c>
      <c r="K173" s="1" t="s">
        <v>36</v>
      </c>
      <c r="L173" s="1" t="s">
        <v>37</v>
      </c>
      <c r="M173" s="1" t="s">
        <v>38</v>
      </c>
      <c r="N173" s="1" t="s">
        <v>39</v>
      </c>
      <c r="O173" s="1" t="s">
        <v>69</v>
      </c>
      <c r="P173" s="1" t="s">
        <v>383</v>
      </c>
      <c r="Q173" s="4">
        <v>20.94</v>
      </c>
      <c r="R173" s="1">
        <v>3</v>
      </c>
      <c r="S173" s="5">
        <v>0</v>
      </c>
      <c r="T173" s="4">
        <v>9.8417999999999992</v>
      </c>
      <c r="U173" s="6" t="str">
        <f t="shared" si="7"/>
        <v>Profit</v>
      </c>
      <c r="V173" s="6" t="str">
        <f t="shared" si="8"/>
        <v>Low Sales</v>
      </c>
    </row>
    <row r="174" spans="1:22" x14ac:dyDescent="0.3">
      <c r="A174" s="1">
        <v>173</v>
      </c>
      <c r="B174" s="2">
        <v>40760</v>
      </c>
      <c r="C174" s="1">
        <v>2011</v>
      </c>
      <c r="D174" s="3" t="s">
        <v>92</v>
      </c>
      <c r="E174" s="2">
        <v>40764</v>
      </c>
      <c r="F174" s="1">
        <f t="shared" si="6"/>
        <v>4</v>
      </c>
      <c r="G174" s="1" t="s">
        <v>43</v>
      </c>
      <c r="H174" s="1" t="s">
        <v>382</v>
      </c>
      <c r="I174" s="1" t="s">
        <v>23</v>
      </c>
      <c r="J174" s="1" t="s">
        <v>24</v>
      </c>
      <c r="K174" s="1" t="s">
        <v>36</v>
      </c>
      <c r="L174" s="1" t="s">
        <v>37</v>
      </c>
      <c r="M174" s="1" t="s">
        <v>38</v>
      </c>
      <c r="N174" s="1" t="s">
        <v>39</v>
      </c>
      <c r="O174" s="1" t="s">
        <v>69</v>
      </c>
      <c r="P174" s="1" t="s">
        <v>384</v>
      </c>
      <c r="Q174" s="4">
        <v>110.96</v>
      </c>
      <c r="R174" s="1">
        <v>2</v>
      </c>
      <c r="S174" s="5">
        <v>0</v>
      </c>
      <c r="T174" s="4">
        <v>53.260800000000003</v>
      </c>
      <c r="U174" s="6" t="str">
        <f t="shared" si="7"/>
        <v>Profit</v>
      </c>
      <c r="V174" s="6" t="str">
        <f t="shared" si="8"/>
        <v>Low Sales</v>
      </c>
    </row>
    <row r="175" spans="1:22" x14ac:dyDescent="0.3">
      <c r="A175" s="1">
        <v>174</v>
      </c>
      <c r="B175" s="2">
        <v>40760</v>
      </c>
      <c r="C175" s="1">
        <v>2011</v>
      </c>
      <c r="D175" s="3" t="s">
        <v>92</v>
      </c>
      <c r="E175" s="2">
        <v>40764</v>
      </c>
      <c r="F175" s="1">
        <f t="shared" si="6"/>
        <v>4</v>
      </c>
      <c r="G175" s="1" t="s">
        <v>43</v>
      </c>
      <c r="H175" s="1" t="s">
        <v>382</v>
      </c>
      <c r="I175" s="1" t="s">
        <v>23</v>
      </c>
      <c r="J175" s="1" t="s">
        <v>24</v>
      </c>
      <c r="K175" s="1" t="s">
        <v>36</v>
      </c>
      <c r="L175" s="1" t="s">
        <v>37</v>
      </c>
      <c r="M175" s="1" t="s">
        <v>38</v>
      </c>
      <c r="N175" s="1" t="s">
        <v>28</v>
      </c>
      <c r="O175" s="1" t="s">
        <v>31</v>
      </c>
      <c r="P175" s="1" t="s">
        <v>385</v>
      </c>
      <c r="Q175" s="4">
        <v>340.14400000000001</v>
      </c>
      <c r="R175" s="1">
        <v>7</v>
      </c>
      <c r="S175" s="5">
        <v>0.2</v>
      </c>
      <c r="T175" s="4">
        <v>21.259</v>
      </c>
      <c r="U175" s="6" t="str">
        <f t="shared" si="7"/>
        <v>Profit</v>
      </c>
      <c r="V175" s="6" t="str">
        <f t="shared" si="8"/>
        <v>Low Sales</v>
      </c>
    </row>
    <row r="176" spans="1:22" x14ac:dyDescent="0.3">
      <c r="A176" s="1">
        <v>175</v>
      </c>
      <c r="B176" s="2">
        <v>40800</v>
      </c>
      <c r="C176" s="1">
        <v>2011</v>
      </c>
      <c r="D176" s="3" t="s">
        <v>109</v>
      </c>
      <c r="E176" s="2">
        <v>40805</v>
      </c>
      <c r="F176" s="1">
        <f t="shared" si="6"/>
        <v>5</v>
      </c>
      <c r="G176" s="1" t="s">
        <v>43</v>
      </c>
      <c r="H176" s="1" t="s">
        <v>386</v>
      </c>
      <c r="I176" s="1" t="s">
        <v>35</v>
      </c>
      <c r="J176" s="1" t="s">
        <v>24</v>
      </c>
      <c r="K176" s="1" t="s">
        <v>190</v>
      </c>
      <c r="L176" s="1" t="s">
        <v>141</v>
      </c>
      <c r="M176" s="1" t="s">
        <v>80</v>
      </c>
      <c r="N176" s="1" t="s">
        <v>39</v>
      </c>
      <c r="O176" s="1" t="s">
        <v>61</v>
      </c>
      <c r="P176" s="1" t="s">
        <v>387</v>
      </c>
      <c r="Q176" s="4">
        <v>52.448</v>
      </c>
      <c r="R176" s="1">
        <v>2</v>
      </c>
      <c r="S176" s="5">
        <v>0.8</v>
      </c>
      <c r="T176" s="4">
        <v>-131.12</v>
      </c>
      <c r="U176" s="6" t="str">
        <f t="shared" si="7"/>
        <v>Loss</v>
      </c>
      <c r="V176" s="6" t="str">
        <f t="shared" si="8"/>
        <v>Low Sales</v>
      </c>
    </row>
    <row r="177" spans="1:22" x14ac:dyDescent="0.3">
      <c r="A177" s="1">
        <v>176</v>
      </c>
      <c r="B177" s="2">
        <v>40800</v>
      </c>
      <c r="C177" s="1">
        <v>2011</v>
      </c>
      <c r="D177" s="3" t="s">
        <v>109</v>
      </c>
      <c r="E177" s="2">
        <v>40805</v>
      </c>
      <c r="F177" s="1">
        <f t="shared" si="6"/>
        <v>5</v>
      </c>
      <c r="G177" s="1" t="s">
        <v>43</v>
      </c>
      <c r="H177" s="1" t="s">
        <v>386</v>
      </c>
      <c r="I177" s="1" t="s">
        <v>35</v>
      </c>
      <c r="J177" s="1" t="s">
        <v>24</v>
      </c>
      <c r="K177" s="1" t="s">
        <v>190</v>
      </c>
      <c r="L177" s="1" t="s">
        <v>141</v>
      </c>
      <c r="M177" s="1" t="s">
        <v>80</v>
      </c>
      <c r="N177" s="1" t="s">
        <v>39</v>
      </c>
      <c r="O177" s="1" t="s">
        <v>40</v>
      </c>
      <c r="P177" s="1" t="s">
        <v>388</v>
      </c>
      <c r="Q177" s="4">
        <v>20.16</v>
      </c>
      <c r="R177" s="1">
        <v>4</v>
      </c>
      <c r="S177" s="5">
        <v>0.2</v>
      </c>
      <c r="T177" s="4">
        <v>6.5519999999999996</v>
      </c>
      <c r="U177" s="6" t="str">
        <f t="shared" si="7"/>
        <v>Profit</v>
      </c>
      <c r="V177" s="6" t="str">
        <f t="shared" si="8"/>
        <v>Low Sales</v>
      </c>
    </row>
    <row r="178" spans="1:22" x14ac:dyDescent="0.3">
      <c r="A178" s="1">
        <v>177</v>
      </c>
      <c r="B178" s="2">
        <v>41751</v>
      </c>
      <c r="C178" s="1">
        <v>2014</v>
      </c>
      <c r="D178" s="3" t="s">
        <v>65</v>
      </c>
      <c r="E178" s="2">
        <v>41755</v>
      </c>
      <c r="F178" s="1">
        <f t="shared" si="6"/>
        <v>4</v>
      </c>
      <c r="G178" s="1" t="s">
        <v>21</v>
      </c>
      <c r="H178" s="1" t="s">
        <v>389</v>
      </c>
      <c r="I178" s="1" t="s">
        <v>23</v>
      </c>
      <c r="J178" s="1" t="s">
        <v>24</v>
      </c>
      <c r="K178" s="1" t="s">
        <v>127</v>
      </c>
      <c r="L178" s="1" t="s">
        <v>79</v>
      </c>
      <c r="M178" s="1" t="s">
        <v>80</v>
      </c>
      <c r="N178" s="1" t="s">
        <v>39</v>
      </c>
      <c r="O178" s="1" t="s">
        <v>61</v>
      </c>
      <c r="P178" s="1" t="s">
        <v>390</v>
      </c>
      <c r="Q178" s="4">
        <v>97.263999999999996</v>
      </c>
      <c r="R178" s="1">
        <v>4</v>
      </c>
      <c r="S178" s="5">
        <v>0.8</v>
      </c>
      <c r="T178" s="4">
        <v>-243.16</v>
      </c>
      <c r="U178" s="6" t="str">
        <f t="shared" si="7"/>
        <v>Loss</v>
      </c>
      <c r="V178" s="6" t="str">
        <f t="shared" si="8"/>
        <v>Low Sales</v>
      </c>
    </row>
    <row r="179" spans="1:22" x14ac:dyDescent="0.3">
      <c r="A179" s="1">
        <v>178</v>
      </c>
      <c r="B179" s="2">
        <v>41234</v>
      </c>
      <c r="C179" s="1">
        <v>2012</v>
      </c>
      <c r="D179" s="3" t="s">
        <v>20</v>
      </c>
      <c r="E179" s="2">
        <v>41236</v>
      </c>
      <c r="F179" s="1">
        <f t="shared" si="6"/>
        <v>2</v>
      </c>
      <c r="G179" s="1" t="s">
        <v>21</v>
      </c>
      <c r="H179" s="1" t="s">
        <v>205</v>
      </c>
      <c r="I179" s="1" t="s">
        <v>23</v>
      </c>
      <c r="J179" s="1" t="s">
        <v>24</v>
      </c>
      <c r="K179" s="1" t="s">
        <v>339</v>
      </c>
      <c r="L179" s="1" t="s">
        <v>286</v>
      </c>
      <c r="M179" s="1" t="s">
        <v>107</v>
      </c>
      <c r="N179" s="1" t="s">
        <v>28</v>
      </c>
      <c r="O179" s="1" t="s">
        <v>31</v>
      </c>
      <c r="P179" s="1" t="s">
        <v>391</v>
      </c>
      <c r="Q179" s="4">
        <v>396.80200000000002</v>
      </c>
      <c r="R179" s="1">
        <v>7</v>
      </c>
      <c r="S179" s="5">
        <v>0.3</v>
      </c>
      <c r="T179" s="4">
        <v>-11.337199999999999</v>
      </c>
      <c r="U179" s="6" t="str">
        <f t="shared" si="7"/>
        <v>Loss</v>
      </c>
      <c r="V179" s="6" t="str">
        <f t="shared" si="8"/>
        <v>Low Sales</v>
      </c>
    </row>
    <row r="180" spans="1:22" x14ac:dyDescent="0.3">
      <c r="A180" s="1">
        <v>179</v>
      </c>
      <c r="B180" s="2">
        <v>41234</v>
      </c>
      <c r="C180" s="1">
        <v>2012</v>
      </c>
      <c r="D180" s="3" t="s">
        <v>20</v>
      </c>
      <c r="E180" s="2">
        <v>41236</v>
      </c>
      <c r="F180" s="1">
        <f t="shared" si="6"/>
        <v>2</v>
      </c>
      <c r="G180" s="1" t="s">
        <v>21</v>
      </c>
      <c r="H180" s="1" t="s">
        <v>205</v>
      </c>
      <c r="I180" s="1" t="s">
        <v>23</v>
      </c>
      <c r="J180" s="1" t="s">
        <v>24</v>
      </c>
      <c r="K180" s="1" t="s">
        <v>339</v>
      </c>
      <c r="L180" s="1" t="s">
        <v>286</v>
      </c>
      <c r="M180" s="1" t="s">
        <v>107</v>
      </c>
      <c r="N180" s="1" t="s">
        <v>39</v>
      </c>
      <c r="O180" s="1" t="s">
        <v>325</v>
      </c>
      <c r="P180" s="1" t="s">
        <v>392</v>
      </c>
      <c r="Q180" s="4">
        <v>15.88</v>
      </c>
      <c r="R180" s="1">
        <v>5</v>
      </c>
      <c r="S180" s="5">
        <v>0.2</v>
      </c>
      <c r="T180" s="4">
        <v>-3.7715000000000001</v>
      </c>
      <c r="U180" s="6" t="str">
        <f t="shared" si="7"/>
        <v>Loss</v>
      </c>
      <c r="V180" s="6" t="str">
        <f t="shared" si="8"/>
        <v>Low Sales</v>
      </c>
    </row>
    <row r="181" spans="1:22" x14ac:dyDescent="0.3">
      <c r="A181" s="1">
        <v>180</v>
      </c>
      <c r="B181" s="2">
        <v>41258</v>
      </c>
      <c r="C181" s="1">
        <v>2012</v>
      </c>
      <c r="D181" s="3" t="s">
        <v>71</v>
      </c>
      <c r="E181" s="2">
        <v>41262</v>
      </c>
      <c r="F181" s="1">
        <f t="shared" si="6"/>
        <v>4</v>
      </c>
      <c r="G181" s="1" t="s">
        <v>43</v>
      </c>
      <c r="H181" s="1" t="s">
        <v>393</v>
      </c>
      <c r="I181" s="1" t="s">
        <v>77</v>
      </c>
      <c r="J181" s="1" t="s">
        <v>24</v>
      </c>
      <c r="K181" s="1" t="s">
        <v>171</v>
      </c>
      <c r="L181" s="1" t="s">
        <v>172</v>
      </c>
      <c r="M181" s="1" t="s">
        <v>107</v>
      </c>
      <c r="N181" s="1" t="s">
        <v>39</v>
      </c>
      <c r="O181" s="1" t="s">
        <v>54</v>
      </c>
      <c r="P181" s="1" t="s">
        <v>394</v>
      </c>
      <c r="Q181" s="4">
        <v>3.28</v>
      </c>
      <c r="R181" s="1">
        <v>1</v>
      </c>
      <c r="S181" s="5">
        <v>0</v>
      </c>
      <c r="T181" s="4">
        <v>1.4104000000000001</v>
      </c>
      <c r="U181" s="6" t="str">
        <f t="shared" si="7"/>
        <v>Profit</v>
      </c>
      <c r="V181" s="6" t="str">
        <f t="shared" si="8"/>
        <v>Low Sales</v>
      </c>
    </row>
    <row r="182" spans="1:22" x14ac:dyDescent="0.3">
      <c r="A182" s="1">
        <v>181</v>
      </c>
      <c r="B182" s="2">
        <v>40882</v>
      </c>
      <c r="C182" s="1">
        <v>2011</v>
      </c>
      <c r="D182" s="3" t="s">
        <v>71</v>
      </c>
      <c r="E182" s="2">
        <v>40886</v>
      </c>
      <c r="F182" s="1">
        <f t="shared" si="6"/>
        <v>4</v>
      </c>
      <c r="G182" s="1" t="s">
        <v>21</v>
      </c>
      <c r="H182" s="1" t="s">
        <v>395</v>
      </c>
      <c r="I182" s="1" t="s">
        <v>35</v>
      </c>
      <c r="J182" s="1" t="s">
        <v>24</v>
      </c>
      <c r="K182" s="1" t="s">
        <v>217</v>
      </c>
      <c r="L182" s="1" t="s">
        <v>141</v>
      </c>
      <c r="M182" s="1" t="s">
        <v>80</v>
      </c>
      <c r="N182" s="1" t="s">
        <v>39</v>
      </c>
      <c r="O182" s="1" t="s">
        <v>49</v>
      </c>
      <c r="P182" s="1" t="s">
        <v>396</v>
      </c>
      <c r="Q182" s="4">
        <v>24.815999999999999</v>
      </c>
      <c r="R182" s="1">
        <v>2</v>
      </c>
      <c r="S182" s="5">
        <v>0.2</v>
      </c>
      <c r="T182" s="4">
        <v>1.8612</v>
      </c>
      <c r="U182" s="6" t="str">
        <f t="shared" si="7"/>
        <v>Profit</v>
      </c>
      <c r="V182" s="6" t="str">
        <f t="shared" si="8"/>
        <v>Low Sales</v>
      </c>
    </row>
    <row r="183" spans="1:22" x14ac:dyDescent="0.3">
      <c r="A183" s="1">
        <v>182</v>
      </c>
      <c r="B183" s="2">
        <v>40882</v>
      </c>
      <c r="C183" s="1">
        <v>2011</v>
      </c>
      <c r="D183" s="3" t="s">
        <v>71</v>
      </c>
      <c r="E183" s="2">
        <v>40886</v>
      </c>
      <c r="F183" s="1">
        <f t="shared" si="6"/>
        <v>4</v>
      </c>
      <c r="G183" s="1" t="s">
        <v>21</v>
      </c>
      <c r="H183" s="1" t="s">
        <v>395</v>
      </c>
      <c r="I183" s="1" t="s">
        <v>35</v>
      </c>
      <c r="J183" s="1" t="s">
        <v>24</v>
      </c>
      <c r="K183" s="1" t="s">
        <v>217</v>
      </c>
      <c r="L183" s="1" t="s">
        <v>141</v>
      </c>
      <c r="M183" s="1" t="s">
        <v>80</v>
      </c>
      <c r="N183" s="1" t="s">
        <v>56</v>
      </c>
      <c r="O183" s="1" t="s">
        <v>115</v>
      </c>
      <c r="P183" s="1" t="s">
        <v>397</v>
      </c>
      <c r="Q183" s="4">
        <v>408.74400000000003</v>
      </c>
      <c r="R183" s="1">
        <v>7</v>
      </c>
      <c r="S183" s="5">
        <v>0.2</v>
      </c>
      <c r="T183" s="4">
        <v>76.639499999999998</v>
      </c>
      <c r="U183" s="6" t="str">
        <f t="shared" si="7"/>
        <v>Profit</v>
      </c>
      <c r="V183" s="6" t="str">
        <f t="shared" si="8"/>
        <v>Low Sales</v>
      </c>
    </row>
    <row r="184" spans="1:22" x14ac:dyDescent="0.3">
      <c r="A184" s="1">
        <v>183</v>
      </c>
      <c r="B184" s="2">
        <v>40866</v>
      </c>
      <c r="C184" s="1">
        <v>2011</v>
      </c>
      <c r="D184" s="3" t="s">
        <v>20</v>
      </c>
      <c r="E184" s="2">
        <v>40871</v>
      </c>
      <c r="F184" s="1">
        <f t="shared" si="6"/>
        <v>5</v>
      </c>
      <c r="G184" s="1" t="s">
        <v>21</v>
      </c>
      <c r="H184" s="1" t="s">
        <v>398</v>
      </c>
      <c r="I184" s="1" t="s">
        <v>77</v>
      </c>
      <c r="J184" s="1" t="s">
        <v>24</v>
      </c>
      <c r="K184" s="1" t="s">
        <v>399</v>
      </c>
      <c r="L184" s="1" t="s">
        <v>400</v>
      </c>
      <c r="M184" s="1" t="s">
        <v>27</v>
      </c>
      <c r="N184" s="1" t="s">
        <v>56</v>
      </c>
      <c r="O184" s="1" t="s">
        <v>57</v>
      </c>
      <c r="P184" s="1" t="s">
        <v>401</v>
      </c>
      <c r="Q184" s="4">
        <v>503.96</v>
      </c>
      <c r="R184" s="1">
        <v>4</v>
      </c>
      <c r="S184" s="5">
        <v>0</v>
      </c>
      <c r="T184" s="4">
        <v>131.02959999999999</v>
      </c>
      <c r="U184" s="6" t="str">
        <f t="shared" si="7"/>
        <v>Profit</v>
      </c>
      <c r="V184" s="6" t="str">
        <f t="shared" si="8"/>
        <v>Medium Sales</v>
      </c>
    </row>
    <row r="185" spans="1:22" x14ac:dyDescent="0.3">
      <c r="A185" s="1">
        <v>184</v>
      </c>
      <c r="B185" s="2">
        <v>40866</v>
      </c>
      <c r="C185" s="1">
        <v>2011</v>
      </c>
      <c r="D185" s="3" t="s">
        <v>20</v>
      </c>
      <c r="E185" s="2">
        <v>40871</v>
      </c>
      <c r="F185" s="1">
        <f t="shared" si="6"/>
        <v>5</v>
      </c>
      <c r="G185" s="1" t="s">
        <v>21</v>
      </c>
      <c r="H185" s="1" t="s">
        <v>398</v>
      </c>
      <c r="I185" s="1" t="s">
        <v>77</v>
      </c>
      <c r="J185" s="1" t="s">
        <v>24</v>
      </c>
      <c r="K185" s="1" t="s">
        <v>399</v>
      </c>
      <c r="L185" s="1" t="s">
        <v>400</v>
      </c>
      <c r="M185" s="1" t="s">
        <v>27</v>
      </c>
      <c r="N185" s="1" t="s">
        <v>56</v>
      </c>
      <c r="O185" s="1" t="s">
        <v>57</v>
      </c>
      <c r="P185" s="1" t="s">
        <v>402</v>
      </c>
      <c r="Q185" s="4">
        <v>149.94999999999999</v>
      </c>
      <c r="R185" s="1">
        <v>5</v>
      </c>
      <c r="S185" s="5">
        <v>0</v>
      </c>
      <c r="T185" s="4">
        <v>41.985999999999997</v>
      </c>
      <c r="U185" s="6" t="str">
        <f t="shared" si="7"/>
        <v>Profit</v>
      </c>
      <c r="V185" s="6" t="str">
        <f t="shared" si="8"/>
        <v>Low Sales</v>
      </c>
    </row>
    <row r="186" spans="1:22" x14ac:dyDescent="0.3">
      <c r="A186" s="1">
        <v>185</v>
      </c>
      <c r="B186" s="2">
        <v>40866</v>
      </c>
      <c r="C186" s="1">
        <v>2011</v>
      </c>
      <c r="D186" s="3" t="s">
        <v>20</v>
      </c>
      <c r="E186" s="2">
        <v>40871</v>
      </c>
      <c r="F186" s="1">
        <f t="shared" si="6"/>
        <v>5</v>
      </c>
      <c r="G186" s="1" t="s">
        <v>21</v>
      </c>
      <c r="H186" s="1" t="s">
        <v>398</v>
      </c>
      <c r="I186" s="1" t="s">
        <v>77</v>
      </c>
      <c r="J186" s="1" t="s">
        <v>24</v>
      </c>
      <c r="K186" s="1" t="s">
        <v>399</v>
      </c>
      <c r="L186" s="1" t="s">
        <v>400</v>
      </c>
      <c r="M186" s="1" t="s">
        <v>27</v>
      </c>
      <c r="N186" s="1" t="s">
        <v>56</v>
      </c>
      <c r="O186" s="1" t="s">
        <v>115</v>
      </c>
      <c r="P186" s="1" t="s">
        <v>403</v>
      </c>
      <c r="Q186" s="4">
        <v>29</v>
      </c>
      <c r="R186" s="1">
        <v>2</v>
      </c>
      <c r="S186" s="5">
        <v>0</v>
      </c>
      <c r="T186" s="4">
        <v>7.25</v>
      </c>
      <c r="U186" s="6" t="str">
        <f t="shared" si="7"/>
        <v>Profit</v>
      </c>
      <c r="V186" s="6" t="str">
        <f t="shared" si="8"/>
        <v>Low Sales</v>
      </c>
    </row>
    <row r="187" spans="1:22" x14ac:dyDescent="0.3">
      <c r="A187" s="1">
        <v>186</v>
      </c>
      <c r="B187" s="2">
        <v>41607</v>
      </c>
      <c r="C187" s="1">
        <v>2013</v>
      </c>
      <c r="D187" s="3" t="s">
        <v>20</v>
      </c>
      <c r="E187" s="2">
        <v>41611</v>
      </c>
      <c r="F187" s="1">
        <f t="shared" si="6"/>
        <v>4</v>
      </c>
      <c r="G187" s="1" t="s">
        <v>43</v>
      </c>
      <c r="H187" s="1" t="s">
        <v>404</v>
      </c>
      <c r="I187" s="1" t="s">
        <v>23</v>
      </c>
      <c r="J187" s="1" t="s">
        <v>24</v>
      </c>
      <c r="K187" s="1" t="s">
        <v>405</v>
      </c>
      <c r="L187" s="1" t="s">
        <v>406</v>
      </c>
      <c r="M187" s="1" t="s">
        <v>107</v>
      </c>
      <c r="N187" s="1" t="s">
        <v>39</v>
      </c>
      <c r="O187" s="1" t="s">
        <v>59</v>
      </c>
      <c r="P187" s="1" t="s">
        <v>407</v>
      </c>
      <c r="Q187" s="4">
        <v>7.16</v>
      </c>
      <c r="R187" s="1">
        <v>2</v>
      </c>
      <c r="S187" s="5">
        <v>0</v>
      </c>
      <c r="T187" s="4">
        <v>3.4367999999999999</v>
      </c>
      <c r="U187" s="6" t="str">
        <f t="shared" si="7"/>
        <v>Profit</v>
      </c>
      <c r="V187" s="6" t="str">
        <f t="shared" si="8"/>
        <v>Low Sales</v>
      </c>
    </row>
    <row r="188" spans="1:22" x14ac:dyDescent="0.3">
      <c r="A188" s="1">
        <v>187</v>
      </c>
      <c r="B188" s="2">
        <v>40781</v>
      </c>
      <c r="C188" s="1">
        <v>2011</v>
      </c>
      <c r="D188" s="3" t="s">
        <v>92</v>
      </c>
      <c r="E188" s="2">
        <v>40785</v>
      </c>
      <c r="F188" s="1">
        <f t="shared" si="6"/>
        <v>4</v>
      </c>
      <c r="G188" s="1" t="s">
        <v>43</v>
      </c>
      <c r="H188" s="1" t="s">
        <v>408</v>
      </c>
      <c r="I188" s="1" t="s">
        <v>77</v>
      </c>
      <c r="J188" s="1" t="s">
        <v>24</v>
      </c>
      <c r="K188" s="1" t="s">
        <v>36</v>
      </c>
      <c r="L188" s="1" t="s">
        <v>37</v>
      </c>
      <c r="M188" s="1" t="s">
        <v>38</v>
      </c>
      <c r="N188" s="1" t="s">
        <v>56</v>
      </c>
      <c r="O188" s="1" t="s">
        <v>115</v>
      </c>
      <c r="P188" s="1" t="s">
        <v>409</v>
      </c>
      <c r="Q188" s="4">
        <v>176.8</v>
      </c>
      <c r="R188" s="1">
        <v>8</v>
      </c>
      <c r="S188" s="5">
        <v>0</v>
      </c>
      <c r="T188" s="4">
        <v>22.984000000000002</v>
      </c>
      <c r="U188" s="6" t="str">
        <f t="shared" si="7"/>
        <v>Profit</v>
      </c>
      <c r="V188" s="6" t="str">
        <f t="shared" si="8"/>
        <v>Low Sales</v>
      </c>
    </row>
    <row r="189" spans="1:22" x14ac:dyDescent="0.3">
      <c r="A189" s="1">
        <v>188</v>
      </c>
      <c r="B189" s="2">
        <v>41472</v>
      </c>
      <c r="C189" s="1">
        <v>2013</v>
      </c>
      <c r="D189" s="3" t="s">
        <v>103</v>
      </c>
      <c r="E189" s="2">
        <v>41478</v>
      </c>
      <c r="F189" s="1">
        <f t="shared" si="6"/>
        <v>6</v>
      </c>
      <c r="G189" s="1" t="s">
        <v>43</v>
      </c>
      <c r="H189" s="1" t="s">
        <v>410</v>
      </c>
      <c r="I189" s="1" t="s">
        <v>35</v>
      </c>
      <c r="J189" s="1" t="s">
        <v>24</v>
      </c>
      <c r="K189" s="1" t="s">
        <v>411</v>
      </c>
      <c r="L189" s="1" t="s">
        <v>79</v>
      </c>
      <c r="M189" s="1" t="s">
        <v>80</v>
      </c>
      <c r="N189" s="1" t="s">
        <v>39</v>
      </c>
      <c r="O189" s="1" t="s">
        <v>49</v>
      </c>
      <c r="P189" s="1" t="s">
        <v>412</v>
      </c>
      <c r="Q189" s="4">
        <v>37.223999999999997</v>
      </c>
      <c r="R189" s="1">
        <v>3</v>
      </c>
      <c r="S189" s="5">
        <v>0.2</v>
      </c>
      <c r="T189" s="4">
        <v>3.7223999999999999</v>
      </c>
      <c r="U189" s="6" t="str">
        <f t="shared" si="7"/>
        <v>Profit</v>
      </c>
      <c r="V189" s="6" t="str">
        <f t="shared" si="8"/>
        <v>Low Sales</v>
      </c>
    </row>
    <row r="190" spans="1:22" x14ac:dyDescent="0.3">
      <c r="A190" s="1">
        <v>189</v>
      </c>
      <c r="B190" s="2">
        <v>41472</v>
      </c>
      <c r="C190" s="1">
        <v>2013</v>
      </c>
      <c r="D190" s="3" t="s">
        <v>103</v>
      </c>
      <c r="E190" s="2">
        <v>41478</v>
      </c>
      <c r="F190" s="1">
        <f t="shared" si="6"/>
        <v>6</v>
      </c>
      <c r="G190" s="1" t="s">
        <v>43</v>
      </c>
      <c r="H190" s="1" t="s">
        <v>410</v>
      </c>
      <c r="I190" s="1" t="s">
        <v>35</v>
      </c>
      <c r="J190" s="1" t="s">
        <v>24</v>
      </c>
      <c r="K190" s="1" t="s">
        <v>411</v>
      </c>
      <c r="L190" s="1" t="s">
        <v>79</v>
      </c>
      <c r="M190" s="1" t="s">
        <v>80</v>
      </c>
      <c r="N190" s="1" t="s">
        <v>39</v>
      </c>
      <c r="O190" s="1" t="s">
        <v>69</v>
      </c>
      <c r="P190" s="1" t="s">
        <v>352</v>
      </c>
      <c r="Q190" s="4">
        <v>20.015999999999998</v>
      </c>
      <c r="R190" s="1">
        <v>3</v>
      </c>
      <c r="S190" s="5">
        <v>0.2</v>
      </c>
      <c r="T190" s="4">
        <v>6.2549999999999999</v>
      </c>
      <c r="U190" s="6" t="str">
        <f t="shared" si="7"/>
        <v>Profit</v>
      </c>
      <c r="V190" s="6" t="str">
        <f t="shared" si="8"/>
        <v>Low Sales</v>
      </c>
    </row>
    <row r="191" spans="1:22" x14ac:dyDescent="0.3">
      <c r="A191" s="1">
        <v>190</v>
      </c>
      <c r="B191" s="2">
        <v>41194</v>
      </c>
      <c r="C191" s="1">
        <v>2012</v>
      </c>
      <c r="D191" s="3" t="s">
        <v>42</v>
      </c>
      <c r="E191" s="2">
        <v>41196</v>
      </c>
      <c r="F191" s="1">
        <f t="shared" si="6"/>
        <v>2</v>
      </c>
      <c r="G191" s="1" t="s">
        <v>129</v>
      </c>
      <c r="H191" s="1" t="s">
        <v>413</v>
      </c>
      <c r="I191" s="1" t="s">
        <v>77</v>
      </c>
      <c r="J191" s="1" t="s">
        <v>24</v>
      </c>
      <c r="K191" s="1" t="s">
        <v>171</v>
      </c>
      <c r="L191" s="1" t="s">
        <v>172</v>
      </c>
      <c r="M191" s="1" t="s">
        <v>107</v>
      </c>
      <c r="N191" s="1" t="s">
        <v>28</v>
      </c>
      <c r="O191" s="1" t="s">
        <v>29</v>
      </c>
      <c r="P191" s="1" t="s">
        <v>414</v>
      </c>
      <c r="Q191" s="4">
        <v>899.13599999999997</v>
      </c>
      <c r="R191" s="1">
        <v>4</v>
      </c>
      <c r="S191" s="5">
        <v>0.2</v>
      </c>
      <c r="T191" s="4">
        <v>112.392</v>
      </c>
      <c r="U191" s="6" t="str">
        <f t="shared" si="7"/>
        <v>Profit</v>
      </c>
      <c r="V191" s="6" t="str">
        <f t="shared" si="8"/>
        <v>Medium Sales</v>
      </c>
    </row>
    <row r="192" spans="1:22" x14ac:dyDescent="0.3">
      <c r="A192" s="1">
        <v>191</v>
      </c>
      <c r="B192" s="2">
        <v>41194</v>
      </c>
      <c r="C192" s="1">
        <v>2012</v>
      </c>
      <c r="D192" s="3" t="s">
        <v>42</v>
      </c>
      <c r="E192" s="2">
        <v>41196</v>
      </c>
      <c r="F192" s="1">
        <f t="shared" si="6"/>
        <v>2</v>
      </c>
      <c r="G192" s="1" t="s">
        <v>129</v>
      </c>
      <c r="H192" s="1" t="s">
        <v>413</v>
      </c>
      <c r="I192" s="1" t="s">
        <v>77</v>
      </c>
      <c r="J192" s="1" t="s">
        <v>24</v>
      </c>
      <c r="K192" s="1" t="s">
        <v>171</v>
      </c>
      <c r="L192" s="1" t="s">
        <v>172</v>
      </c>
      <c r="M192" s="1" t="s">
        <v>107</v>
      </c>
      <c r="N192" s="1" t="s">
        <v>56</v>
      </c>
      <c r="O192" s="1" t="s">
        <v>57</v>
      </c>
      <c r="P192" s="1" t="s">
        <v>415</v>
      </c>
      <c r="Q192" s="4">
        <v>71.760000000000005</v>
      </c>
      <c r="R192" s="1">
        <v>6</v>
      </c>
      <c r="S192" s="5">
        <v>0</v>
      </c>
      <c r="T192" s="4">
        <v>20.0928</v>
      </c>
      <c r="U192" s="6" t="str">
        <f t="shared" si="7"/>
        <v>Profit</v>
      </c>
      <c r="V192" s="6" t="str">
        <f t="shared" si="8"/>
        <v>Low Sales</v>
      </c>
    </row>
    <row r="193" spans="1:22" x14ac:dyDescent="0.3">
      <c r="A193" s="1">
        <v>192</v>
      </c>
      <c r="B193" s="2">
        <v>41194</v>
      </c>
      <c r="C193" s="1">
        <v>2012</v>
      </c>
      <c r="D193" s="3" t="s">
        <v>42</v>
      </c>
      <c r="E193" s="2">
        <v>41196</v>
      </c>
      <c r="F193" s="1">
        <f t="shared" si="6"/>
        <v>2</v>
      </c>
      <c r="G193" s="1" t="s">
        <v>129</v>
      </c>
      <c r="H193" s="1" t="s">
        <v>413</v>
      </c>
      <c r="I193" s="1" t="s">
        <v>77</v>
      </c>
      <c r="J193" s="1" t="s">
        <v>24</v>
      </c>
      <c r="K193" s="1" t="s">
        <v>171</v>
      </c>
      <c r="L193" s="1" t="s">
        <v>172</v>
      </c>
      <c r="M193" s="1" t="s">
        <v>107</v>
      </c>
      <c r="N193" s="1" t="s">
        <v>39</v>
      </c>
      <c r="O193" s="1" t="s">
        <v>69</v>
      </c>
      <c r="P193" s="1" t="s">
        <v>416</v>
      </c>
      <c r="Q193" s="4">
        <v>51.84</v>
      </c>
      <c r="R193" s="1">
        <v>8</v>
      </c>
      <c r="S193" s="5">
        <v>0</v>
      </c>
      <c r="T193" s="4">
        <v>24.883199999999999</v>
      </c>
      <c r="U193" s="6" t="str">
        <f t="shared" si="7"/>
        <v>Profit</v>
      </c>
      <c r="V193" s="6" t="str">
        <f t="shared" si="8"/>
        <v>Low Sales</v>
      </c>
    </row>
    <row r="194" spans="1:22" x14ac:dyDescent="0.3">
      <c r="A194" s="1">
        <v>193</v>
      </c>
      <c r="B194" s="2">
        <v>41194</v>
      </c>
      <c r="C194" s="1">
        <v>2012</v>
      </c>
      <c r="D194" s="3" t="s">
        <v>42</v>
      </c>
      <c r="E194" s="2">
        <v>41196</v>
      </c>
      <c r="F194" s="1">
        <f t="shared" ref="F194:F257" si="9">_xlfn.DAYS(E194,B194)</f>
        <v>2</v>
      </c>
      <c r="G194" s="1" t="s">
        <v>129</v>
      </c>
      <c r="H194" s="1" t="s">
        <v>413</v>
      </c>
      <c r="I194" s="1" t="s">
        <v>77</v>
      </c>
      <c r="J194" s="1" t="s">
        <v>24</v>
      </c>
      <c r="K194" s="1" t="s">
        <v>171</v>
      </c>
      <c r="L194" s="1" t="s">
        <v>172</v>
      </c>
      <c r="M194" s="1" t="s">
        <v>107</v>
      </c>
      <c r="N194" s="1" t="s">
        <v>28</v>
      </c>
      <c r="O194" s="1" t="s">
        <v>29</v>
      </c>
      <c r="P194" s="1" t="s">
        <v>136</v>
      </c>
      <c r="Q194" s="4">
        <v>626.35199999999998</v>
      </c>
      <c r="R194" s="1">
        <v>3</v>
      </c>
      <c r="S194" s="5">
        <v>0.2</v>
      </c>
      <c r="T194" s="4">
        <v>46.976399999999998</v>
      </c>
      <c r="U194" s="6" t="str">
        <f t="shared" si="7"/>
        <v>Profit</v>
      </c>
      <c r="V194" s="6" t="str">
        <f t="shared" si="8"/>
        <v>Medium Sales</v>
      </c>
    </row>
    <row r="195" spans="1:22" x14ac:dyDescent="0.3">
      <c r="A195" s="1">
        <v>194</v>
      </c>
      <c r="B195" s="2">
        <v>41194</v>
      </c>
      <c r="C195" s="1">
        <v>2012</v>
      </c>
      <c r="D195" s="3" t="s">
        <v>42</v>
      </c>
      <c r="E195" s="2">
        <v>41196</v>
      </c>
      <c r="F195" s="1">
        <f t="shared" si="9"/>
        <v>2</v>
      </c>
      <c r="G195" s="1" t="s">
        <v>129</v>
      </c>
      <c r="H195" s="1" t="s">
        <v>413</v>
      </c>
      <c r="I195" s="1" t="s">
        <v>77</v>
      </c>
      <c r="J195" s="1" t="s">
        <v>24</v>
      </c>
      <c r="K195" s="1" t="s">
        <v>171</v>
      </c>
      <c r="L195" s="1" t="s">
        <v>172</v>
      </c>
      <c r="M195" s="1" t="s">
        <v>107</v>
      </c>
      <c r="N195" s="1" t="s">
        <v>39</v>
      </c>
      <c r="O195" s="1" t="s">
        <v>54</v>
      </c>
      <c r="P195" s="1" t="s">
        <v>417</v>
      </c>
      <c r="Q195" s="4">
        <v>19.899999999999999</v>
      </c>
      <c r="R195" s="1">
        <v>5</v>
      </c>
      <c r="S195" s="5">
        <v>0</v>
      </c>
      <c r="T195" s="4">
        <v>6.5670000000000002</v>
      </c>
      <c r="U195" s="6" t="str">
        <f t="shared" ref="U195:U258" si="10">IF(T195&gt;0,"Profit","Loss")</f>
        <v>Profit</v>
      </c>
      <c r="V195" s="6" t="str">
        <f t="shared" ref="V195:V258" si="11">IF(Q195&gt;=1000,"High Sales",IF(Q195&gt;=500,"Medium Sales","Low Sales"))</f>
        <v>Low Sales</v>
      </c>
    </row>
    <row r="196" spans="1:22" x14ac:dyDescent="0.3">
      <c r="A196" s="1">
        <v>195</v>
      </c>
      <c r="B196" s="2">
        <v>41213</v>
      </c>
      <c r="C196" s="1">
        <v>2012</v>
      </c>
      <c r="D196" s="3" t="s">
        <v>42</v>
      </c>
      <c r="E196" s="2">
        <v>41219</v>
      </c>
      <c r="F196" s="1">
        <f t="shared" si="9"/>
        <v>6</v>
      </c>
      <c r="G196" s="1" t="s">
        <v>43</v>
      </c>
      <c r="H196" s="1" t="s">
        <v>418</v>
      </c>
      <c r="I196" s="1" t="s">
        <v>35</v>
      </c>
      <c r="J196" s="1" t="s">
        <v>24</v>
      </c>
      <c r="K196" s="1" t="s">
        <v>419</v>
      </c>
      <c r="L196" s="1" t="s">
        <v>37</v>
      </c>
      <c r="M196" s="1" t="s">
        <v>38</v>
      </c>
      <c r="N196" s="1" t="s">
        <v>39</v>
      </c>
      <c r="O196" s="1" t="s">
        <v>121</v>
      </c>
      <c r="P196" s="1" t="s">
        <v>122</v>
      </c>
      <c r="Q196" s="4">
        <v>14.28</v>
      </c>
      <c r="R196" s="1">
        <v>7</v>
      </c>
      <c r="S196" s="5">
        <v>0</v>
      </c>
      <c r="T196" s="4">
        <v>6.7115999999999998</v>
      </c>
      <c r="U196" s="6" t="str">
        <f t="shared" si="10"/>
        <v>Profit</v>
      </c>
      <c r="V196" s="6" t="str">
        <f t="shared" si="11"/>
        <v>Low Sales</v>
      </c>
    </row>
    <row r="197" spans="1:22" x14ac:dyDescent="0.3">
      <c r="A197" s="1">
        <v>196</v>
      </c>
      <c r="B197" s="2">
        <v>40623</v>
      </c>
      <c r="C197" s="1">
        <v>2011</v>
      </c>
      <c r="D197" s="3" t="s">
        <v>148</v>
      </c>
      <c r="E197" s="2">
        <v>40627</v>
      </c>
      <c r="F197" s="1">
        <f t="shared" si="9"/>
        <v>4</v>
      </c>
      <c r="G197" s="1" t="s">
        <v>43</v>
      </c>
      <c r="H197" s="1" t="s">
        <v>420</v>
      </c>
      <c r="I197" s="1" t="s">
        <v>23</v>
      </c>
      <c r="J197" s="1" t="s">
        <v>24</v>
      </c>
      <c r="K197" s="1" t="s">
        <v>421</v>
      </c>
      <c r="L197" s="1" t="s">
        <v>286</v>
      </c>
      <c r="M197" s="1" t="s">
        <v>107</v>
      </c>
      <c r="N197" s="1" t="s">
        <v>39</v>
      </c>
      <c r="O197" s="1" t="s">
        <v>54</v>
      </c>
      <c r="P197" s="1" t="s">
        <v>422</v>
      </c>
      <c r="Q197" s="4">
        <v>7.4080000000000004</v>
      </c>
      <c r="R197" s="1">
        <v>2</v>
      </c>
      <c r="S197" s="5">
        <v>0.2</v>
      </c>
      <c r="T197" s="4">
        <v>1.2038</v>
      </c>
      <c r="U197" s="6" t="str">
        <f t="shared" si="10"/>
        <v>Profit</v>
      </c>
      <c r="V197" s="6" t="str">
        <f t="shared" si="11"/>
        <v>Low Sales</v>
      </c>
    </row>
    <row r="198" spans="1:22" x14ac:dyDescent="0.3">
      <c r="A198" s="1">
        <v>197</v>
      </c>
      <c r="B198" s="2">
        <v>40623</v>
      </c>
      <c r="C198" s="1">
        <v>2011</v>
      </c>
      <c r="D198" s="3" t="s">
        <v>148</v>
      </c>
      <c r="E198" s="2">
        <v>40627</v>
      </c>
      <c r="F198" s="1">
        <f t="shared" si="9"/>
        <v>4</v>
      </c>
      <c r="G198" s="1" t="s">
        <v>43</v>
      </c>
      <c r="H198" s="1" t="s">
        <v>420</v>
      </c>
      <c r="I198" s="1" t="s">
        <v>23</v>
      </c>
      <c r="J198" s="1" t="s">
        <v>24</v>
      </c>
      <c r="K198" s="1" t="s">
        <v>421</v>
      </c>
      <c r="L198" s="1" t="s">
        <v>286</v>
      </c>
      <c r="M198" s="1" t="s">
        <v>107</v>
      </c>
      <c r="N198" s="1" t="s">
        <v>39</v>
      </c>
      <c r="O198" s="1" t="s">
        <v>54</v>
      </c>
      <c r="P198" s="1" t="s">
        <v>423</v>
      </c>
      <c r="Q198" s="4">
        <v>6.048</v>
      </c>
      <c r="R198" s="1">
        <v>3</v>
      </c>
      <c r="S198" s="5">
        <v>0.2</v>
      </c>
      <c r="T198" s="4">
        <v>1.5875999999999999</v>
      </c>
      <c r="U198" s="6" t="str">
        <f t="shared" si="10"/>
        <v>Profit</v>
      </c>
      <c r="V198" s="6" t="str">
        <f t="shared" si="11"/>
        <v>Low Sales</v>
      </c>
    </row>
    <row r="199" spans="1:22" x14ac:dyDescent="0.3">
      <c r="A199" s="1">
        <v>198</v>
      </c>
      <c r="B199" s="2">
        <v>41950</v>
      </c>
      <c r="C199" s="1">
        <v>2014</v>
      </c>
      <c r="D199" s="3" t="s">
        <v>20</v>
      </c>
      <c r="E199" s="2">
        <v>41957</v>
      </c>
      <c r="F199" s="1">
        <f t="shared" si="9"/>
        <v>7</v>
      </c>
      <c r="G199" s="1" t="s">
        <v>43</v>
      </c>
      <c r="H199" s="1" t="s">
        <v>424</v>
      </c>
      <c r="I199" s="1" t="s">
        <v>77</v>
      </c>
      <c r="J199" s="1" t="s">
        <v>24</v>
      </c>
      <c r="K199" s="1" t="s">
        <v>425</v>
      </c>
      <c r="L199" s="1" t="s">
        <v>426</v>
      </c>
      <c r="M199" s="1" t="s">
        <v>107</v>
      </c>
      <c r="N199" s="1" t="s">
        <v>39</v>
      </c>
      <c r="O199" s="1" t="s">
        <v>49</v>
      </c>
      <c r="P199" s="1" t="s">
        <v>427</v>
      </c>
      <c r="Q199" s="4">
        <v>46.26</v>
      </c>
      <c r="R199" s="1">
        <v>3</v>
      </c>
      <c r="S199" s="5">
        <v>0</v>
      </c>
      <c r="T199" s="4">
        <v>12.0276</v>
      </c>
      <c r="U199" s="6" t="str">
        <f t="shared" si="10"/>
        <v>Profit</v>
      </c>
      <c r="V199" s="6" t="str">
        <f t="shared" si="11"/>
        <v>Low Sales</v>
      </c>
    </row>
    <row r="200" spans="1:22" x14ac:dyDescent="0.3">
      <c r="A200" s="1">
        <v>199</v>
      </c>
      <c r="B200" s="2">
        <v>41827</v>
      </c>
      <c r="C200" s="1">
        <v>2014</v>
      </c>
      <c r="D200" s="3" t="s">
        <v>103</v>
      </c>
      <c r="E200" s="2">
        <v>41834</v>
      </c>
      <c r="F200" s="1">
        <f t="shared" si="9"/>
        <v>7</v>
      </c>
      <c r="G200" s="1" t="s">
        <v>43</v>
      </c>
      <c r="H200" s="1" t="s">
        <v>428</v>
      </c>
      <c r="I200" s="1" t="s">
        <v>35</v>
      </c>
      <c r="J200" s="1" t="s">
        <v>24</v>
      </c>
      <c r="K200" s="1" t="s">
        <v>105</v>
      </c>
      <c r="L200" s="1" t="s">
        <v>106</v>
      </c>
      <c r="M200" s="1" t="s">
        <v>107</v>
      </c>
      <c r="N200" s="1" t="s">
        <v>39</v>
      </c>
      <c r="O200" s="1" t="s">
        <v>59</v>
      </c>
      <c r="P200" s="1" t="s">
        <v>429</v>
      </c>
      <c r="Q200" s="4">
        <v>2.9460000000000002</v>
      </c>
      <c r="R200" s="1">
        <v>2</v>
      </c>
      <c r="S200" s="5">
        <v>0.7</v>
      </c>
      <c r="T200" s="4">
        <v>-2.2585999999999999</v>
      </c>
      <c r="U200" s="6" t="str">
        <f t="shared" si="10"/>
        <v>Loss</v>
      </c>
      <c r="V200" s="6" t="str">
        <f t="shared" si="11"/>
        <v>Low Sales</v>
      </c>
    </row>
    <row r="201" spans="1:22" x14ac:dyDescent="0.3">
      <c r="A201" s="1">
        <v>200</v>
      </c>
      <c r="B201" s="2">
        <v>41827</v>
      </c>
      <c r="C201" s="1">
        <v>2014</v>
      </c>
      <c r="D201" s="3" t="s">
        <v>103</v>
      </c>
      <c r="E201" s="2">
        <v>41834</v>
      </c>
      <c r="F201" s="1">
        <f t="shared" si="9"/>
        <v>7</v>
      </c>
      <c r="G201" s="1" t="s">
        <v>43</v>
      </c>
      <c r="H201" s="1" t="s">
        <v>428</v>
      </c>
      <c r="I201" s="1" t="s">
        <v>35</v>
      </c>
      <c r="J201" s="1" t="s">
        <v>24</v>
      </c>
      <c r="K201" s="1" t="s">
        <v>105</v>
      </c>
      <c r="L201" s="1" t="s">
        <v>106</v>
      </c>
      <c r="M201" s="1" t="s">
        <v>107</v>
      </c>
      <c r="N201" s="1" t="s">
        <v>39</v>
      </c>
      <c r="O201" s="1" t="s">
        <v>69</v>
      </c>
      <c r="P201" s="1" t="s">
        <v>430</v>
      </c>
      <c r="Q201" s="4">
        <v>16.056000000000001</v>
      </c>
      <c r="R201" s="1">
        <v>3</v>
      </c>
      <c r="S201" s="5">
        <v>0.2</v>
      </c>
      <c r="T201" s="4">
        <v>5.8202999999999996</v>
      </c>
      <c r="U201" s="6" t="str">
        <f t="shared" si="10"/>
        <v>Profit</v>
      </c>
      <c r="V201" s="6" t="str">
        <f t="shared" si="11"/>
        <v>Low Sales</v>
      </c>
    </row>
    <row r="202" spans="1:22" x14ac:dyDescent="0.3">
      <c r="A202" s="1">
        <v>201</v>
      </c>
      <c r="B202" s="2">
        <v>41815</v>
      </c>
      <c r="C202" s="1">
        <v>2014</v>
      </c>
      <c r="D202" s="3" t="s">
        <v>33</v>
      </c>
      <c r="E202" s="2">
        <v>41820</v>
      </c>
      <c r="F202" s="1">
        <f t="shared" si="9"/>
        <v>5</v>
      </c>
      <c r="G202" s="1" t="s">
        <v>43</v>
      </c>
      <c r="H202" s="1" t="s">
        <v>431</v>
      </c>
      <c r="I202" s="1" t="s">
        <v>23</v>
      </c>
      <c r="J202" s="1" t="s">
        <v>24</v>
      </c>
      <c r="K202" s="1" t="s">
        <v>432</v>
      </c>
      <c r="L202" s="1" t="s">
        <v>286</v>
      </c>
      <c r="M202" s="1" t="s">
        <v>107</v>
      </c>
      <c r="N202" s="1" t="s">
        <v>39</v>
      </c>
      <c r="O202" s="1" t="s">
        <v>69</v>
      </c>
      <c r="P202" s="1" t="s">
        <v>433</v>
      </c>
      <c r="Q202" s="4">
        <v>21.744</v>
      </c>
      <c r="R202" s="1">
        <v>3</v>
      </c>
      <c r="S202" s="5">
        <v>0.2</v>
      </c>
      <c r="T202" s="4">
        <v>6.7949999999999999</v>
      </c>
      <c r="U202" s="6" t="str">
        <f t="shared" si="10"/>
        <v>Profit</v>
      </c>
      <c r="V202" s="6" t="str">
        <f t="shared" si="11"/>
        <v>Low Sales</v>
      </c>
    </row>
    <row r="203" spans="1:22" x14ac:dyDescent="0.3">
      <c r="A203" s="1">
        <v>202</v>
      </c>
      <c r="B203" s="2">
        <v>40758</v>
      </c>
      <c r="C203" s="1">
        <v>2011</v>
      </c>
      <c r="D203" s="3" t="s">
        <v>92</v>
      </c>
      <c r="E203" s="2">
        <v>40760</v>
      </c>
      <c r="F203" s="1">
        <f t="shared" si="9"/>
        <v>2</v>
      </c>
      <c r="G203" s="1" t="s">
        <v>129</v>
      </c>
      <c r="H203" s="1" t="s">
        <v>434</v>
      </c>
      <c r="I203" s="1" t="s">
        <v>23</v>
      </c>
      <c r="J203" s="1" t="s">
        <v>24</v>
      </c>
      <c r="K203" s="1" t="s">
        <v>435</v>
      </c>
      <c r="L203" s="1" t="s">
        <v>265</v>
      </c>
      <c r="M203" s="1" t="s">
        <v>38</v>
      </c>
      <c r="N203" s="1" t="s">
        <v>28</v>
      </c>
      <c r="O203" s="1" t="s">
        <v>47</v>
      </c>
      <c r="P203" s="1" t="s">
        <v>436</v>
      </c>
      <c r="Q203" s="4">
        <v>218.75</v>
      </c>
      <c r="R203" s="1">
        <v>2</v>
      </c>
      <c r="S203" s="5">
        <v>0.5</v>
      </c>
      <c r="T203" s="4">
        <v>-161.875</v>
      </c>
      <c r="U203" s="6" t="str">
        <f t="shared" si="10"/>
        <v>Loss</v>
      </c>
      <c r="V203" s="6" t="str">
        <f t="shared" si="11"/>
        <v>Low Sales</v>
      </c>
    </row>
    <row r="204" spans="1:22" x14ac:dyDescent="0.3">
      <c r="A204" s="1">
        <v>203</v>
      </c>
      <c r="B204" s="2">
        <v>40758</v>
      </c>
      <c r="C204" s="1">
        <v>2011</v>
      </c>
      <c r="D204" s="3" t="s">
        <v>92</v>
      </c>
      <c r="E204" s="2">
        <v>40760</v>
      </c>
      <c r="F204" s="1">
        <f t="shared" si="9"/>
        <v>2</v>
      </c>
      <c r="G204" s="1" t="s">
        <v>129</v>
      </c>
      <c r="H204" s="1" t="s">
        <v>434</v>
      </c>
      <c r="I204" s="1" t="s">
        <v>23</v>
      </c>
      <c r="J204" s="1" t="s">
        <v>24</v>
      </c>
      <c r="K204" s="1" t="s">
        <v>435</v>
      </c>
      <c r="L204" s="1" t="s">
        <v>265</v>
      </c>
      <c r="M204" s="1" t="s">
        <v>38</v>
      </c>
      <c r="N204" s="1" t="s">
        <v>39</v>
      </c>
      <c r="O204" s="1" t="s">
        <v>61</v>
      </c>
      <c r="P204" s="1" t="s">
        <v>437</v>
      </c>
      <c r="Q204" s="4">
        <v>2.6</v>
      </c>
      <c r="R204" s="1">
        <v>1</v>
      </c>
      <c r="S204" s="5">
        <v>0.2</v>
      </c>
      <c r="T204" s="4">
        <v>0.29249999999999998</v>
      </c>
      <c r="U204" s="6" t="str">
        <f t="shared" si="10"/>
        <v>Profit</v>
      </c>
      <c r="V204" s="6" t="str">
        <f t="shared" si="11"/>
        <v>Low Sales</v>
      </c>
    </row>
    <row r="205" spans="1:22" x14ac:dyDescent="0.3">
      <c r="A205" s="1">
        <v>204</v>
      </c>
      <c r="B205" s="2">
        <v>41991</v>
      </c>
      <c r="C205" s="1">
        <v>2014</v>
      </c>
      <c r="D205" s="3" t="s">
        <v>71</v>
      </c>
      <c r="E205" s="2">
        <v>41995</v>
      </c>
      <c r="F205" s="1">
        <f t="shared" si="9"/>
        <v>4</v>
      </c>
      <c r="G205" s="1" t="s">
        <v>21</v>
      </c>
      <c r="H205" s="1" t="s">
        <v>438</v>
      </c>
      <c r="I205" s="1" t="s">
        <v>23</v>
      </c>
      <c r="J205" s="1" t="s">
        <v>24</v>
      </c>
      <c r="K205" s="1" t="s">
        <v>439</v>
      </c>
      <c r="L205" s="1" t="s">
        <v>79</v>
      </c>
      <c r="M205" s="1" t="s">
        <v>80</v>
      </c>
      <c r="N205" s="1" t="s">
        <v>39</v>
      </c>
      <c r="O205" s="1" t="s">
        <v>61</v>
      </c>
      <c r="P205" s="1" t="s">
        <v>440</v>
      </c>
      <c r="Q205" s="4">
        <v>66.284000000000006</v>
      </c>
      <c r="R205" s="1">
        <v>2</v>
      </c>
      <c r="S205" s="5">
        <v>0.8</v>
      </c>
      <c r="T205" s="4">
        <v>-178.96680000000001</v>
      </c>
      <c r="U205" s="6" t="str">
        <f t="shared" si="10"/>
        <v>Loss</v>
      </c>
      <c r="V205" s="6" t="str">
        <f t="shared" si="11"/>
        <v>Low Sales</v>
      </c>
    </row>
    <row r="206" spans="1:22" x14ac:dyDescent="0.3">
      <c r="A206" s="1">
        <v>205</v>
      </c>
      <c r="B206" s="2">
        <v>41794</v>
      </c>
      <c r="C206" s="1">
        <v>2014</v>
      </c>
      <c r="D206" s="3" t="s">
        <v>33</v>
      </c>
      <c r="E206" s="2">
        <v>41798</v>
      </c>
      <c r="F206" s="1">
        <f t="shared" si="9"/>
        <v>4</v>
      </c>
      <c r="G206" s="1" t="s">
        <v>43</v>
      </c>
      <c r="H206" s="1" t="s">
        <v>441</v>
      </c>
      <c r="I206" s="1" t="s">
        <v>35</v>
      </c>
      <c r="J206" s="1" t="s">
        <v>24</v>
      </c>
      <c r="K206" s="1" t="s">
        <v>342</v>
      </c>
      <c r="L206" s="1" t="s">
        <v>207</v>
      </c>
      <c r="M206" s="1" t="s">
        <v>27</v>
      </c>
      <c r="N206" s="1" t="s">
        <v>28</v>
      </c>
      <c r="O206" s="1" t="s">
        <v>52</v>
      </c>
      <c r="P206" s="1" t="s">
        <v>442</v>
      </c>
      <c r="Q206" s="4">
        <v>35.167999999999999</v>
      </c>
      <c r="R206" s="1">
        <v>7</v>
      </c>
      <c r="S206" s="5">
        <v>0.2</v>
      </c>
      <c r="T206" s="4">
        <v>9.6712000000000007</v>
      </c>
      <c r="U206" s="6" t="str">
        <f t="shared" si="10"/>
        <v>Profit</v>
      </c>
      <c r="V206" s="6" t="str">
        <f t="shared" si="11"/>
        <v>Low Sales</v>
      </c>
    </row>
    <row r="207" spans="1:22" x14ac:dyDescent="0.3">
      <c r="A207" s="1">
        <v>206</v>
      </c>
      <c r="B207" s="2">
        <v>41983</v>
      </c>
      <c r="C207" s="1">
        <v>2014</v>
      </c>
      <c r="D207" s="3" t="s">
        <v>71</v>
      </c>
      <c r="E207" s="2">
        <v>41988</v>
      </c>
      <c r="F207" s="1">
        <f t="shared" si="9"/>
        <v>5</v>
      </c>
      <c r="G207" s="1" t="s">
        <v>43</v>
      </c>
      <c r="H207" s="1" t="s">
        <v>443</v>
      </c>
      <c r="I207" s="1" t="s">
        <v>23</v>
      </c>
      <c r="J207" s="1" t="s">
        <v>24</v>
      </c>
      <c r="K207" s="1" t="s">
        <v>444</v>
      </c>
      <c r="L207" s="1" t="s">
        <v>37</v>
      </c>
      <c r="M207" s="1" t="s">
        <v>38</v>
      </c>
      <c r="N207" s="1" t="s">
        <v>56</v>
      </c>
      <c r="O207" s="1" t="s">
        <v>57</v>
      </c>
      <c r="P207" s="1" t="s">
        <v>445</v>
      </c>
      <c r="Q207" s="4">
        <v>444.76799999999997</v>
      </c>
      <c r="R207" s="1">
        <v>4</v>
      </c>
      <c r="S207" s="5">
        <v>0.2</v>
      </c>
      <c r="T207" s="4">
        <v>44.476799999999997</v>
      </c>
      <c r="U207" s="6" t="str">
        <f t="shared" si="10"/>
        <v>Profit</v>
      </c>
      <c r="V207" s="6" t="str">
        <f t="shared" si="11"/>
        <v>Low Sales</v>
      </c>
    </row>
    <row r="208" spans="1:22" x14ac:dyDescent="0.3">
      <c r="A208" s="1">
        <v>207</v>
      </c>
      <c r="B208" s="2">
        <v>41975</v>
      </c>
      <c r="C208" s="1">
        <v>2014</v>
      </c>
      <c r="D208" s="3" t="s">
        <v>71</v>
      </c>
      <c r="E208" s="2">
        <v>41981</v>
      </c>
      <c r="F208" s="1">
        <f t="shared" si="9"/>
        <v>6</v>
      </c>
      <c r="G208" s="1" t="s">
        <v>43</v>
      </c>
      <c r="H208" s="1" t="s">
        <v>446</v>
      </c>
      <c r="I208" s="1" t="s">
        <v>23</v>
      </c>
      <c r="J208" s="1" t="s">
        <v>24</v>
      </c>
      <c r="K208" s="1" t="s">
        <v>447</v>
      </c>
      <c r="L208" s="1" t="s">
        <v>156</v>
      </c>
      <c r="M208" s="1" t="s">
        <v>80</v>
      </c>
      <c r="N208" s="1" t="s">
        <v>39</v>
      </c>
      <c r="O208" s="1" t="s">
        <v>49</v>
      </c>
      <c r="P208" s="1" t="s">
        <v>448</v>
      </c>
      <c r="Q208" s="4">
        <v>83.92</v>
      </c>
      <c r="R208" s="1">
        <v>4</v>
      </c>
      <c r="S208" s="5">
        <v>0</v>
      </c>
      <c r="T208" s="4">
        <v>5.8743999999999996</v>
      </c>
      <c r="U208" s="6" t="str">
        <f t="shared" si="10"/>
        <v>Profit</v>
      </c>
      <c r="V208" s="6" t="str">
        <f t="shared" si="11"/>
        <v>Low Sales</v>
      </c>
    </row>
    <row r="209" spans="1:22" x14ac:dyDescent="0.3">
      <c r="A209" s="1">
        <v>208</v>
      </c>
      <c r="B209" s="2">
        <v>41975</v>
      </c>
      <c r="C209" s="1">
        <v>2014</v>
      </c>
      <c r="D209" s="3" t="s">
        <v>71</v>
      </c>
      <c r="E209" s="2">
        <v>41981</v>
      </c>
      <c r="F209" s="1">
        <f t="shared" si="9"/>
        <v>6</v>
      </c>
      <c r="G209" s="1" t="s">
        <v>43</v>
      </c>
      <c r="H209" s="1" t="s">
        <v>446</v>
      </c>
      <c r="I209" s="1" t="s">
        <v>23</v>
      </c>
      <c r="J209" s="1" t="s">
        <v>24</v>
      </c>
      <c r="K209" s="1" t="s">
        <v>447</v>
      </c>
      <c r="L209" s="1" t="s">
        <v>156</v>
      </c>
      <c r="M209" s="1" t="s">
        <v>80</v>
      </c>
      <c r="N209" s="1" t="s">
        <v>56</v>
      </c>
      <c r="O209" s="1" t="s">
        <v>57</v>
      </c>
      <c r="P209" s="1" t="s">
        <v>449</v>
      </c>
      <c r="Q209" s="4">
        <v>131.97999999999999</v>
      </c>
      <c r="R209" s="1">
        <v>2</v>
      </c>
      <c r="S209" s="5">
        <v>0</v>
      </c>
      <c r="T209" s="4">
        <v>35.634599999999999</v>
      </c>
      <c r="U209" s="6" t="str">
        <f t="shared" si="10"/>
        <v>Profit</v>
      </c>
      <c r="V209" s="6" t="str">
        <f t="shared" si="11"/>
        <v>Low Sales</v>
      </c>
    </row>
    <row r="210" spans="1:22" x14ac:dyDescent="0.3">
      <c r="A210" s="1">
        <v>209</v>
      </c>
      <c r="B210" s="2">
        <v>41975</v>
      </c>
      <c r="C210" s="1">
        <v>2014</v>
      </c>
      <c r="D210" s="3" t="s">
        <v>71</v>
      </c>
      <c r="E210" s="2">
        <v>41981</v>
      </c>
      <c r="F210" s="1">
        <f t="shared" si="9"/>
        <v>6</v>
      </c>
      <c r="G210" s="1" t="s">
        <v>43</v>
      </c>
      <c r="H210" s="1" t="s">
        <v>446</v>
      </c>
      <c r="I210" s="1" t="s">
        <v>23</v>
      </c>
      <c r="J210" s="1" t="s">
        <v>24</v>
      </c>
      <c r="K210" s="1" t="s">
        <v>447</v>
      </c>
      <c r="L210" s="1" t="s">
        <v>156</v>
      </c>
      <c r="M210" s="1" t="s">
        <v>80</v>
      </c>
      <c r="N210" s="1" t="s">
        <v>39</v>
      </c>
      <c r="O210" s="1" t="s">
        <v>59</v>
      </c>
      <c r="P210" s="1" t="s">
        <v>309</v>
      </c>
      <c r="Q210" s="4">
        <v>15.92</v>
      </c>
      <c r="R210" s="1">
        <v>4</v>
      </c>
      <c r="S210" s="5">
        <v>0</v>
      </c>
      <c r="T210" s="4">
        <v>7.4824000000000002</v>
      </c>
      <c r="U210" s="6" t="str">
        <f t="shared" si="10"/>
        <v>Profit</v>
      </c>
      <c r="V210" s="6" t="str">
        <f t="shared" si="11"/>
        <v>Low Sales</v>
      </c>
    </row>
    <row r="211" spans="1:22" x14ac:dyDescent="0.3">
      <c r="A211" s="1">
        <v>210</v>
      </c>
      <c r="B211" s="2">
        <v>41975</v>
      </c>
      <c r="C211" s="1">
        <v>2014</v>
      </c>
      <c r="D211" s="3" t="s">
        <v>71</v>
      </c>
      <c r="E211" s="2">
        <v>41981</v>
      </c>
      <c r="F211" s="1">
        <f t="shared" si="9"/>
        <v>6</v>
      </c>
      <c r="G211" s="1" t="s">
        <v>43</v>
      </c>
      <c r="H211" s="1" t="s">
        <v>446</v>
      </c>
      <c r="I211" s="1" t="s">
        <v>23</v>
      </c>
      <c r="J211" s="1" t="s">
        <v>24</v>
      </c>
      <c r="K211" s="1" t="s">
        <v>447</v>
      </c>
      <c r="L211" s="1" t="s">
        <v>156</v>
      </c>
      <c r="M211" s="1" t="s">
        <v>80</v>
      </c>
      <c r="N211" s="1" t="s">
        <v>39</v>
      </c>
      <c r="O211" s="1" t="s">
        <v>173</v>
      </c>
      <c r="P211" s="1" t="s">
        <v>450</v>
      </c>
      <c r="Q211" s="4">
        <v>52.29</v>
      </c>
      <c r="R211" s="1">
        <v>9</v>
      </c>
      <c r="S211" s="5">
        <v>0</v>
      </c>
      <c r="T211" s="4">
        <v>16.209900000000001</v>
      </c>
      <c r="U211" s="6" t="str">
        <f t="shared" si="10"/>
        <v>Profit</v>
      </c>
      <c r="V211" s="6" t="str">
        <f t="shared" si="11"/>
        <v>Low Sales</v>
      </c>
    </row>
    <row r="212" spans="1:22" x14ac:dyDescent="0.3">
      <c r="A212" s="1">
        <v>211</v>
      </c>
      <c r="B212" s="2">
        <v>41975</v>
      </c>
      <c r="C212" s="1">
        <v>2014</v>
      </c>
      <c r="D212" s="3" t="s">
        <v>71</v>
      </c>
      <c r="E212" s="2">
        <v>41981</v>
      </c>
      <c r="F212" s="1">
        <f t="shared" si="9"/>
        <v>6</v>
      </c>
      <c r="G212" s="1" t="s">
        <v>43</v>
      </c>
      <c r="H212" s="1" t="s">
        <v>446</v>
      </c>
      <c r="I212" s="1" t="s">
        <v>23</v>
      </c>
      <c r="J212" s="1" t="s">
        <v>24</v>
      </c>
      <c r="K212" s="1" t="s">
        <v>447</v>
      </c>
      <c r="L212" s="1" t="s">
        <v>156</v>
      </c>
      <c r="M212" s="1" t="s">
        <v>80</v>
      </c>
      <c r="N212" s="1" t="s">
        <v>39</v>
      </c>
      <c r="O212" s="1" t="s">
        <v>49</v>
      </c>
      <c r="P212" s="1" t="s">
        <v>451</v>
      </c>
      <c r="Q212" s="4">
        <v>91.99</v>
      </c>
      <c r="R212" s="1">
        <v>1</v>
      </c>
      <c r="S212" s="5">
        <v>0</v>
      </c>
      <c r="T212" s="4">
        <v>3.6796000000000002</v>
      </c>
      <c r="U212" s="6" t="str">
        <f t="shared" si="10"/>
        <v>Profit</v>
      </c>
      <c r="V212" s="6" t="str">
        <f t="shared" si="11"/>
        <v>Low Sales</v>
      </c>
    </row>
    <row r="213" spans="1:22" x14ac:dyDescent="0.3">
      <c r="A213" s="1">
        <v>212</v>
      </c>
      <c r="B213" s="2">
        <v>40948</v>
      </c>
      <c r="C213" s="1">
        <v>2012</v>
      </c>
      <c r="D213" s="3" t="s">
        <v>314</v>
      </c>
      <c r="E213" s="2">
        <v>40952</v>
      </c>
      <c r="F213" s="1">
        <f t="shared" si="9"/>
        <v>4</v>
      </c>
      <c r="G213" s="1" t="s">
        <v>21</v>
      </c>
      <c r="H213" s="1" t="s">
        <v>452</v>
      </c>
      <c r="I213" s="1" t="s">
        <v>35</v>
      </c>
      <c r="J213" s="1" t="s">
        <v>24</v>
      </c>
      <c r="K213" s="1" t="s">
        <v>439</v>
      </c>
      <c r="L213" s="1" t="s">
        <v>79</v>
      </c>
      <c r="M213" s="1" t="s">
        <v>80</v>
      </c>
      <c r="N213" s="1" t="s">
        <v>56</v>
      </c>
      <c r="O213" s="1" t="s">
        <v>115</v>
      </c>
      <c r="P213" s="1" t="s">
        <v>453</v>
      </c>
      <c r="Q213" s="4">
        <v>20.8</v>
      </c>
      <c r="R213" s="1">
        <v>2</v>
      </c>
      <c r="S213" s="5">
        <v>0.2</v>
      </c>
      <c r="T213" s="4">
        <v>6.5</v>
      </c>
      <c r="U213" s="6" t="str">
        <f t="shared" si="10"/>
        <v>Profit</v>
      </c>
      <c r="V213" s="6" t="str">
        <f t="shared" si="11"/>
        <v>Low Sales</v>
      </c>
    </row>
    <row r="214" spans="1:22" x14ac:dyDescent="0.3">
      <c r="A214" s="1">
        <v>213</v>
      </c>
      <c r="B214" s="2">
        <v>40910</v>
      </c>
      <c r="C214" s="1">
        <v>2012</v>
      </c>
      <c r="D214" s="3" t="s">
        <v>112</v>
      </c>
      <c r="E214" s="2">
        <v>40917</v>
      </c>
      <c r="F214" s="1">
        <f t="shared" si="9"/>
        <v>7</v>
      </c>
      <c r="G214" s="1" t="s">
        <v>43</v>
      </c>
      <c r="H214" s="1" t="s">
        <v>454</v>
      </c>
      <c r="I214" s="1" t="s">
        <v>35</v>
      </c>
      <c r="J214" s="1" t="s">
        <v>24</v>
      </c>
      <c r="K214" s="1" t="s">
        <v>455</v>
      </c>
      <c r="L214" s="1" t="s">
        <v>286</v>
      </c>
      <c r="M214" s="1" t="s">
        <v>107</v>
      </c>
      <c r="N214" s="1" t="s">
        <v>39</v>
      </c>
      <c r="O214" s="1" t="s">
        <v>40</v>
      </c>
      <c r="P214" s="1" t="s">
        <v>456</v>
      </c>
      <c r="Q214" s="4">
        <v>23.68</v>
      </c>
      <c r="R214" s="1">
        <v>2</v>
      </c>
      <c r="S214" s="5">
        <v>0.2</v>
      </c>
      <c r="T214" s="4">
        <v>8.8800000000000008</v>
      </c>
      <c r="U214" s="6" t="str">
        <f t="shared" si="10"/>
        <v>Profit</v>
      </c>
      <c r="V214" s="6" t="str">
        <f t="shared" si="11"/>
        <v>Low Sales</v>
      </c>
    </row>
    <row r="215" spans="1:22" x14ac:dyDescent="0.3">
      <c r="A215" s="1">
        <v>214</v>
      </c>
      <c r="B215" s="2">
        <v>40910</v>
      </c>
      <c r="C215" s="1">
        <v>2012</v>
      </c>
      <c r="D215" s="3" t="s">
        <v>112</v>
      </c>
      <c r="E215" s="2">
        <v>40917</v>
      </c>
      <c r="F215" s="1">
        <f t="shared" si="9"/>
        <v>7</v>
      </c>
      <c r="G215" s="1" t="s">
        <v>43</v>
      </c>
      <c r="H215" s="1" t="s">
        <v>454</v>
      </c>
      <c r="I215" s="1" t="s">
        <v>35</v>
      </c>
      <c r="J215" s="1" t="s">
        <v>24</v>
      </c>
      <c r="K215" s="1" t="s">
        <v>455</v>
      </c>
      <c r="L215" s="1" t="s">
        <v>286</v>
      </c>
      <c r="M215" s="1" t="s">
        <v>107</v>
      </c>
      <c r="N215" s="1" t="s">
        <v>28</v>
      </c>
      <c r="O215" s="1" t="s">
        <v>29</v>
      </c>
      <c r="P215" s="1" t="s">
        <v>457</v>
      </c>
      <c r="Q215" s="4">
        <v>452.45</v>
      </c>
      <c r="R215" s="1">
        <v>5</v>
      </c>
      <c r="S215" s="5">
        <v>0.5</v>
      </c>
      <c r="T215" s="4">
        <v>-244.32300000000001</v>
      </c>
      <c r="U215" s="6" t="str">
        <f t="shared" si="10"/>
        <v>Loss</v>
      </c>
      <c r="V215" s="6" t="str">
        <f t="shared" si="11"/>
        <v>Low Sales</v>
      </c>
    </row>
    <row r="216" spans="1:22" x14ac:dyDescent="0.3">
      <c r="A216" s="1">
        <v>215</v>
      </c>
      <c r="B216" s="2">
        <v>40910</v>
      </c>
      <c r="C216" s="1">
        <v>2012</v>
      </c>
      <c r="D216" s="3" t="s">
        <v>112</v>
      </c>
      <c r="E216" s="2">
        <v>40917</v>
      </c>
      <c r="F216" s="1">
        <f t="shared" si="9"/>
        <v>7</v>
      </c>
      <c r="G216" s="1" t="s">
        <v>43</v>
      </c>
      <c r="H216" s="1" t="s">
        <v>454</v>
      </c>
      <c r="I216" s="1" t="s">
        <v>35</v>
      </c>
      <c r="J216" s="1" t="s">
        <v>24</v>
      </c>
      <c r="K216" s="1" t="s">
        <v>455</v>
      </c>
      <c r="L216" s="1" t="s">
        <v>286</v>
      </c>
      <c r="M216" s="1" t="s">
        <v>107</v>
      </c>
      <c r="N216" s="1" t="s">
        <v>56</v>
      </c>
      <c r="O216" s="1" t="s">
        <v>57</v>
      </c>
      <c r="P216" s="1" t="s">
        <v>272</v>
      </c>
      <c r="Q216" s="4">
        <v>62.981999999999999</v>
      </c>
      <c r="R216" s="1">
        <v>3</v>
      </c>
      <c r="S216" s="5">
        <v>0.4</v>
      </c>
      <c r="T216" s="4">
        <v>-14.6958</v>
      </c>
      <c r="U216" s="6" t="str">
        <f t="shared" si="10"/>
        <v>Loss</v>
      </c>
      <c r="V216" s="6" t="str">
        <f t="shared" si="11"/>
        <v>Low Sales</v>
      </c>
    </row>
    <row r="217" spans="1:22" x14ac:dyDescent="0.3">
      <c r="A217" s="1">
        <v>216</v>
      </c>
      <c r="B217" s="2">
        <v>40910</v>
      </c>
      <c r="C217" s="1">
        <v>2012</v>
      </c>
      <c r="D217" s="3" t="s">
        <v>112</v>
      </c>
      <c r="E217" s="2">
        <v>40917</v>
      </c>
      <c r="F217" s="1">
        <f t="shared" si="9"/>
        <v>7</v>
      </c>
      <c r="G217" s="1" t="s">
        <v>43</v>
      </c>
      <c r="H217" s="1" t="s">
        <v>454</v>
      </c>
      <c r="I217" s="1" t="s">
        <v>35</v>
      </c>
      <c r="J217" s="1" t="s">
        <v>24</v>
      </c>
      <c r="K217" s="1" t="s">
        <v>455</v>
      </c>
      <c r="L217" s="1" t="s">
        <v>286</v>
      </c>
      <c r="M217" s="1" t="s">
        <v>107</v>
      </c>
      <c r="N217" s="1" t="s">
        <v>56</v>
      </c>
      <c r="O217" s="1" t="s">
        <v>375</v>
      </c>
      <c r="P217" s="1" t="s">
        <v>458</v>
      </c>
      <c r="Q217" s="4">
        <v>1188</v>
      </c>
      <c r="R217" s="1">
        <v>9</v>
      </c>
      <c r="S217" s="5">
        <v>0.7</v>
      </c>
      <c r="T217" s="4">
        <v>-950.4</v>
      </c>
      <c r="U217" s="6" t="str">
        <f t="shared" si="10"/>
        <v>Loss</v>
      </c>
      <c r="V217" s="6" t="str">
        <f t="shared" si="11"/>
        <v>High Sales</v>
      </c>
    </row>
    <row r="218" spans="1:22" x14ac:dyDescent="0.3">
      <c r="A218" s="1">
        <v>217</v>
      </c>
      <c r="B218" s="2">
        <v>40910</v>
      </c>
      <c r="C218" s="1">
        <v>2012</v>
      </c>
      <c r="D218" s="3" t="s">
        <v>112</v>
      </c>
      <c r="E218" s="2">
        <v>40917</v>
      </c>
      <c r="F218" s="1">
        <f t="shared" si="9"/>
        <v>7</v>
      </c>
      <c r="G218" s="1" t="s">
        <v>43</v>
      </c>
      <c r="H218" s="1" t="s">
        <v>454</v>
      </c>
      <c r="I218" s="1" t="s">
        <v>35</v>
      </c>
      <c r="J218" s="1" t="s">
        <v>24</v>
      </c>
      <c r="K218" s="1" t="s">
        <v>455</v>
      </c>
      <c r="L218" s="1" t="s">
        <v>286</v>
      </c>
      <c r="M218" s="1" t="s">
        <v>107</v>
      </c>
      <c r="N218" s="1" t="s">
        <v>56</v>
      </c>
      <c r="O218" s="1" t="s">
        <v>115</v>
      </c>
      <c r="P218" s="1" t="s">
        <v>459</v>
      </c>
      <c r="Q218" s="4">
        <v>89.584000000000003</v>
      </c>
      <c r="R218" s="1">
        <v>2</v>
      </c>
      <c r="S218" s="5">
        <v>0.2</v>
      </c>
      <c r="T218" s="4">
        <v>4.4791999999999996</v>
      </c>
      <c r="U218" s="6" t="str">
        <f t="shared" si="10"/>
        <v>Profit</v>
      </c>
      <c r="V218" s="6" t="str">
        <f t="shared" si="11"/>
        <v>Low Sales</v>
      </c>
    </row>
    <row r="219" spans="1:22" x14ac:dyDescent="0.3">
      <c r="A219" s="1">
        <v>218</v>
      </c>
      <c r="B219" s="2">
        <v>41576</v>
      </c>
      <c r="C219" s="1">
        <v>2013</v>
      </c>
      <c r="D219" s="3" t="s">
        <v>42</v>
      </c>
      <c r="E219" s="2">
        <v>41580</v>
      </c>
      <c r="F219" s="1">
        <f t="shared" si="9"/>
        <v>4</v>
      </c>
      <c r="G219" s="1" t="s">
        <v>43</v>
      </c>
      <c r="H219" s="1" t="s">
        <v>460</v>
      </c>
      <c r="I219" s="1" t="s">
        <v>23</v>
      </c>
      <c r="J219" s="1" t="s">
        <v>24</v>
      </c>
      <c r="K219" s="1" t="s">
        <v>36</v>
      </c>
      <c r="L219" s="1" t="s">
        <v>37</v>
      </c>
      <c r="M219" s="1" t="s">
        <v>38</v>
      </c>
      <c r="N219" s="1" t="s">
        <v>39</v>
      </c>
      <c r="O219" s="1" t="s">
        <v>49</v>
      </c>
      <c r="P219" s="1" t="s">
        <v>412</v>
      </c>
      <c r="Q219" s="4">
        <v>93.06</v>
      </c>
      <c r="R219" s="1">
        <v>6</v>
      </c>
      <c r="S219" s="5">
        <v>0</v>
      </c>
      <c r="T219" s="4">
        <v>26.056799999999999</v>
      </c>
      <c r="U219" s="6" t="str">
        <f t="shared" si="10"/>
        <v>Profit</v>
      </c>
      <c r="V219" s="6" t="str">
        <f t="shared" si="11"/>
        <v>Low Sales</v>
      </c>
    </row>
    <row r="220" spans="1:22" x14ac:dyDescent="0.3">
      <c r="A220" s="1">
        <v>219</v>
      </c>
      <c r="B220" s="2">
        <v>41576</v>
      </c>
      <c r="C220" s="1">
        <v>2013</v>
      </c>
      <c r="D220" s="3" t="s">
        <v>42</v>
      </c>
      <c r="E220" s="2">
        <v>41580</v>
      </c>
      <c r="F220" s="1">
        <f t="shared" si="9"/>
        <v>4</v>
      </c>
      <c r="G220" s="1" t="s">
        <v>43</v>
      </c>
      <c r="H220" s="1" t="s">
        <v>460</v>
      </c>
      <c r="I220" s="1" t="s">
        <v>23</v>
      </c>
      <c r="J220" s="1" t="s">
        <v>24</v>
      </c>
      <c r="K220" s="1" t="s">
        <v>36</v>
      </c>
      <c r="L220" s="1" t="s">
        <v>37</v>
      </c>
      <c r="M220" s="1" t="s">
        <v>38</v>
      </c>
      <c r="N220" s="1" t="s">
        <v>56</v>
      </c>
      <c r="O220" s="1" t="s">
        <v>57</v>
      </c>
      <c r="P220" s="1" t="s">
        <v>461</v>
      </c>
      <c r="Q220" s="4">
        <v>302.37599999999998</v>
      </c>
      <c r="R220" s="1">
        <v>3</v>
      </c>
      <c r="S220" s="5">
        <v>0.2</v>
      </c>
      <c r="T220" s="4">
        <v>22.6782</v>
      </c>
      <c r="U220" s="6" t="str">
        <f t="shared" si="10"/>
        <v>Profit</v>
      </c>
      <c r="V220" s="6" t="str">
        <f t="shared" si="11"/>
        <v>Low Sales</v>
      </c>
    </row>
    <row r="221" spans="1:22" x14ac:dyDescent="0.3">
      <c r="A221" s="1">
        <v>220</v>
      </c>
      <c r="B221" s="2">
        <v>41267</v>
      </c>
      <c r="C221" s="1">
        <v>2012</v>
      </c>
      <c r="D221" s="3" t="s">
        <v>71</v>
      </c>
      <c r="E221" s="2">
        <v>41270</v>
      </c>
      <c r="F221" s="1">
        <f t="shared" si="9"/>
        <v>3</v>
      </c>
      <c r="G221" s="1" t="s">
        <v>129</v>
      </c>
      <c r="H221" s="1" t="s">
        <v>462</v>
      </c>
      <c r="I221" s="1" t="s">
        <v>23</v>
      </c>
      <c r="J221" s="1" t="s">
        <v>24</v>
      </c>
      <c r="K221" s="1" t="s">
        <v>463</v>
      </c>
      <c r="L221" s="1" t="s">
        <v>286</v>
      </c>
      <c r="M221" s="1" t="s">
        <v>107</v>
      </c>
      <c r="N221" s="1" t="s">
        <v>39</v>
      </c>
      <c r="O221" s="1" t="s">
        <v>173</v>
      </c>
      <c r="P221" s="1" t="s">
        <v>464</v>
      </c>
      <c r="Q221" s="4">
        <v>5.5839999999999996</v>
      </c>
      <c r="R221" s="1">
        <v>2</v>
      </c>
      <c r="S221" s="5">
        <v>0.2</v>
      </c>
      <c r="T221" s="4">
        <v>1.8148</v>
      </c>
      <c r="U221" s="6" t="str">
        <f t="shared" si="10"/>
        <v>Profit</v>
      </c>
      <c r="V221" s="6" t="str">
        <f t="shared" si="11"/>
        <v>Low Sales</v>
      </c>
    </row>
    <row r="222" spans="1:22" x14ac:dyDescent="0.3">
      <c r="A222" s="1">
        <v>221</v>
      </c>
      <c r="B222" s="2">
        <v>41267</v>
      </c>
      <c r="C222" s="1">
        <v>2012</v>
      </c>
      <c r="D222" s="3" t="s">
        <v>71</v>
      </c>
      <c r="E222" s="2">
        <v>41270</v>
      </c>
      <c r="F222" s="1">
        <f t="shared" si="9"/>
        <v>3</v>
      </c>
      <c r="G222" s="1" t="s">
        <v>129</v>
      </c>
      <c r="H222" s="1" t="s">
        <v>462</v>
      </c>
      <c r="I222" s="1" t="s">
        <v>23</v>
      </c>
      <c r="J222" s="1" t="s">
        <v>24</v>
      </c>
      <c r="K222" s="1" t="s">
        <v>463</v>
      </c>
      <c r="L222" s="1" t="s">
        <v>286</v>
      </c>
      <c r="M222" s="1" t="s">
        <v>107</v>
      </c>
      <c r="N222" s="1" t="s">
        <v>39</v>
      </c>
      <c r="O222" s="1" t="s">
        <v>69</v>
      </c>
      <c r="P222" s="1" t="s">
        <v>465</v>
      </c>
      <c r="Q222" s="4">
        <v>22.704000000000001</v>
      </c>
      <c r="R222" s="1">
        <v>6</v>
      </c>
      <c r="S222" s="5">
        <v>0.2</v>
      </c>
      <c r="T222" s="4">
        <v>8.2302</v>
      </c>
      <c r="U222" s="6" t="str">
        <f t="shared" si="10"/>
        <v>Profit</v>
      </c>
      <c r="V222" s="6" t="str">
        <f t="shared" si="11"/>
        <v>Low Sales</v>
      </c>
    </row>
    <row r="223" spans="1:22" x14ac:dyDescent="0.3">
      <c r="A223" s="1">
        <v>222</v>
      </c>
      <c r="B223" s="2">
        <v>41267</v>
      </c>
      <c r="C223" s="1">
        <v>2012</v>
      </c>
      <c r="D223" s="3" t="s">
        <v>71</v>
      </c>
      <c r="E223" s="2">
        <v>41270</v>
      </c>
      <c r="F223" s="1">
        <f t="shared" si="9"/>
        <v>3</v>
      </c>
      <c r="G223" s="1" t="s">
        <v>129</v>
      </c>
      <c r="H223" s="1" t="s">
        <v>462</v>
      </c>
      <c r="I223" s="1" t="s">
        <v>23</v>
      </c>
      <c r="J223" s="1" t="s">
        <v>24</v>
      </c>
      <c r="K223" s="1" t="s">
        <v>463</v>
      </c>
      <c r="L223" s="1" t="s">
        <v>286</v>
      </c>
      <c r="M223" s="1" t="s">
        <v>107</v>
      </c>
      <c r="N223" s="1" t="s">
        <v>39</v>
      </c>
      <c r="O223" s="1" t="s">
        <v>59</v>
      </c>
      <c r="P223" s="1" t="s">
        <v>245</v>
      </c>
      <c r="Q223" s="4">
        <v>19.776</v>
      </c>
      <c r="R223" s="1">
        <v>4</v>
      </c>
      <c r="S223" s="5">
        <v>0.7</v>
      </c>
      <c r="T223" s="4">
        <v>-13.8432</v>
      </c>
      <c r="U223" s="6" t="str">
        <f t="shared" si="10"/>
        <v>Loss</v>
      </c>
      <c r="V223" s="6" t="str">
        <f t="shared" si="11"/>
        <v>Low Sales</v>
      </c>
    </row>
    <row r="224" spans="1:22" x14ac:dyDescent="0.3">
      <c r="A224" s="1">
        <v>223</v>
      </c>
      <c r="B224" s="2">
        <v>41267</v>
      </c>
      <c r="C224" s="1">
        <v>2012</v>
      </c>
      <c r="D224" s="3" t="s">
        <v>71</v>
      </c>
      <c r="E224" s="2">
        <v>41270</v>
      </c>
      <c r="F224" s="1">
        <f t="shared" si="9"/>
        <v>3</v>
      </c>
      <c r="G224" s="1" t="s">
        <v>129</v>
      </c>
      <c r="H224" s="1" t="s">
        <v>462</v>
      </c>
      <c r="I224" s="1" t="s">
        <v>23</v>
      </c>
      <c r="J224" s="1" t="s">
        <v>24</v>
      </c>
      <c r="K224" s="1" t="s">
        <v>463</v>
      </c>
      <c r="L224" s="1" t="s">
        <v>286</v>
      </c>
      <c r="M224" s="1" t="s">
        <v>107</v>
      </c>
      <c r="N224" s="1" t="s">
        <v>28</v>
      </c>
      <c r="O224" s="1" t="s">
        <v>52</v>
      </c>
      <c r="P224" s="1" t="s">
        <v>466</v>
      </c>
      <c r="Q224" s="4">
        <v>72.703999999999994</v>
      </c>
      <c r="R224" s="1">
        <v>4</v>
      </c>
      <c r="S224" s="5">
        <v>0.2</v>
      </c>
      <c r="T224" s="4">
        <v>19.084800000000001</v>
      </c>
      <c r="U224" s="6" t="str">
        <f t="shared" si="10"/>
        <v>Profit</v>
      </c>
      <c r="V224" s="6" t="str">
        <f t="shared" si="11"/>
        <v>Low Sales</v>
      </c>
    </row>
    <row r="225" spans="1:22" x14ac:dyDescent="0.3">
      <c r="A225" s="1">
        <v>224</v>
      </c>
      <c r="B225" s="2">
        <v>41267</v>
      </c>
      <c r="C225" s="1">
        <v>2012</v>
      </c>
      <c r="D225" s="3" t="s">
        <v>71</v>
      </c>
      <c r="E225" s="2">
        <v>41270</v>
      </c>
      <c r="F225" s="1">
        <f t="shared" si="9"/>
        <v>3</v>
      </c>
      <c r="G225" s="1" t="s">
        <v>129</v>
      </c>
      <c r="H225" s="1" t="s">
        <v>462</v>
      </c>
      <c r="I225" s="1" t="s">
        <v>23</v>
      </c>
      <c r="J225" s="1" t="s">
        <v>24</v>
      </c>
      <c r="K225" s="1" t="s">
        <v>463</v>
      </c>
      <c r="L225" s="1" t="s">
        <v>286</v>
      </c>
      <c r="M225" s="1" t="s">
        <v>107</v>
      </c>
      <c r="N225" s="1" t="s">
        <v>56</v>
      </c>
      <c r="O225" s="1" t="s">
        <v>375</v>
      </c>
      <c r="P225" s="1" t="s">
        <v>467</v>
      </c>
      <c r="Q225" s="4">
        <v>479.988</v>
      </c>
      <c r="R225" s="1">
        <v>4</v>
      </c>
      <c r="S225" s="5">
        <v>0.7</v>
      </c>
      <c r="T225" s="4">
        <v>-383.99040000000002</v>
      </c>
      <c r="U225" s="6" t="str">
        <f t="shared" si="10"/>
        <v>Loss</v>
      </c>
      <c r="V225" s="6" t="str">
        <f t="shared" si="11"/>
        <v>Low Sales</v>
      </c>
    </row>
    <row r="226" spans="1:22" x14ac:dyDescent="0.3">
      <c r="A226" s="1">
        <v>225</v>
      </c>
      <c r="B226" s="2">
        <v>41267</v>
      </c>
      <c r="C226" s="1">
        <v>2012</v>
      </c>
      <c r="D226" s="3" t="s">
        <v>71</v>
      </c>
      <c r="E226" s="2">
        <v>41270</v>
      </c>
      <c r="F226" s="1">
        <f t="shared" si="9"/>
        <v>3</v>
      </c>
      <c r="G226" s="1" t="s">
        <v>129</v>
      </c>
      <c r="H226" s="1" t="s">
        <v>462</v>
      </c>
      <c r="I226" s="1" t="s">
        <v>23</v>
      </c>
      <c r="J226" s="1" t="s">
        <v>24</v>
      </c>
      <c r="K226" s="1" t="s">
        <v>463</v>
      </c>
      <c r="L226" s="1" t="s">
        <v>286</v>
      </c>
      <c r="M226" s="1" t="s">
        <v>107</v>
      </c>
      <c r="N226" s="1" t="s">
        <v>39</v>
      </c>
      <c r="O226" s="1" t="s">
        <v>54</v>
      </c>
      <c r="P226" s="1" t="s">
        <v>468</v>
      </c>
      <c r="Q226" s="4">
        <v>27.167999999999999</v>
      </c>
      <c r="R226" s="1">
        <v>2</v>
      </c>
      <c r="S226" s="5">
        <v>0.2</v>
      </c>
      <c r="T226" s="4">
        <v>2.7168000000000001</v>
      </c>
      <c r="U226" s="6" t="str">
        <f t="shared" si="10"/>
        <v>Profit</v>
      </c>
      <c r="V226" s="6" t="str">
        <f t="shared" si="11"/>
        <v>Low Sales</v>
      </c>
    </row>
    <row r="227" spans="1:22" x14ac:dyDescent="0.3">
      <c r="A227" s="1">
        <v>226</v>
      </c>
      <c r="B227" s="2">
        <v>41130</v>
      </c>
      <c r="C227" s="1">
        <v>2012</v>
      </c>
      <c r="D227" s="3" t="s">
        <v>92</v>
      </c>
      <c r="E227" s="2">
        <v>41137</v>
      </c>
      <c r="F227" s="1">
        <f t="shared" si="9"/>
        <v>7</v>
      </c>
      <c r="G227" s="1" t="s">
        <v>43</v>
      </c>
      <c r="H227" s="1" t="s">
        <v>469</v>
      </c>
      <c r="I227" s="1" t="s">
        <v>35</v>
      </c>
      <c r="J227" s="1" t="s">
        <v>24</v>
      </c>
      <c r="K227" s="1" t="s">
        <v>470</v>
      </c>
      <c r="L227" s="1" t="s">
        <v>156</v>
      </c>
      <c r="M227" s="1" t="s">
        <v>80</v>
      </c>
      <c r="N227" s="1" t="s">
        <v>39</v>
      </c>
      <c r="O227" s="1" t="s">
        <v>54</v>
      </c>
      <c r="P227" s="1" t="s">
        <v>471</v>
      </c>
      <c r="Q227" s="4">
        <v>2.2000000000000002</v>
      </c>
      <c r="R227" s="1">
        <v>1</v>
      </c>
      <c r="S227" s="5">
        <v>0</v>
      </c>
      <c r="T227" s="4">
        <v>0.96799999999999997</v>
      </c>
      <c r="U227" s="6" t="str">
        <f t="shared" si="10"/>
        <v>Profit</v>
      </c>
      <c r="V227" s="6" t="str">
        <f t="shared" si="11"/>
        <v>Low Sales</v>
      </c>
    </row>
    <row r="228" spans="1:22" x14ac:dyDescent="0.3">
      <c r="A228" s="1">
        <v>227</v>
      </c>
      <c r="B228" s="2">
        <v>41130</v>
      </c>
      <c r="C228" s="1">
        <v>2012</v>
      </c>
      <c r="D228" s="3" t="s">
        <v>92</v>
      </c>
      <c r="E228" s="2">
        <v>41137</v>
      </c>
      <c r="F228" s="1">
        <f t="shared" si="9"/>
        <v>7</v>
      </c>
      <c r="G228" s="1" t="s">
        <v>43</v>
      </c>
      <c r="H228" s="1" t="s">
        <v>469</v>
      </c>
      <c r="I228" s="1" t="s">
        <v>35</v>
      </c>
      <c r="J228" s="1" t="s">
        <v>24</v>
      </c>
      <c r="K228" s="1" t="s">
        <v>470</v>
      </c>
      <c r="L228" s="1" t="s">
        <v>156</v>
      </c>
      <c r="M228" s="1" t="s">
        <v>80</v>
      </c>
      <c r="N228" s="1" t="s">
        <v>28</v>
      </c>
      <c r="O228" s="1" t="s">
        <v>47</v>
      </c>
      <c r="P228" s="1" t="s">
        <v>472</v>
      </c>
      <c r="Q228" s="4">
        <v>622.45000000000005</v>
      </c>
      <c r="R228" s="1">
        <v>5</v>
      </c>
      <c r="S228" s="5">
        <v>0</v>
      </c>
      <c r="T228" s="4">
        <v>136.93899999999999</v>
      </c>
      <c r="U228" s="6" t="str">
        <f t="shared" si="10"/>
        <v>Profit</v>
      </c>
      <c r="V228" s="6" t="str">
        <f t="shared" si="11"/>
        <v>Medium Sales</v>
      </c>
    </row>
    <row r="229" spans="1:22" x14ac:dyDescent="0.3">
      <c r="A229" s="1">
        <v>228</v>
      </c>
      <c r="B229" s="2">
        <v>41130</v>
      </c>
      <c r="C229" s="1">
        <v>2012</v>
      </c>
      <c r="D229" s="3" t="s">
        <v>92</v>
      </c>
      <c r="E229" s="2">
        <v>41137</v>
      </c>
      <c r="F229" s="1">
        <f t="shared" si="9"/>
        <v>7</v>
      </c>
      <c r="G229" s="1" t="s">
        <v>43</v>
      </c>
      <c r="H229" s="1" t="s">
        <v>469</v>
      </c>
      <c r="I229" s="1" t="s">
        <v>35</v>
      </c>
      <c r="J229" s="1" t="s">
        <v>24</v>
      </c>
      <c r="K229" s="1" t="s">
        <v>470</v>
      </c>
      <c r="L229" s="1" t="s">
        <v>156</v>
      </c>
      <c r="M229" s="1" t="s">
        <v>80</v>
      </c>
      <c r="N229" s="1" t="s">
        <v>39</v>
      </c>
      <c r="O229" s="1" t="s">
        <v>49</v>
      </c>
      <c r="P229" s="1" t="s">
        <v>473</v>
      </c>
      <c r="Q229" s="4">
        <v>21.98</v>
      </c>
      <c r="R229" s="1">
        <v>1</v>
      </c>
      <c r="S229" s="5">
        <v>0</v>
      </c>
      <c r="T229" s="4">
        <v>0.2198</v>
      </c>
      <c r="U229" s="6" t="str">
        <f t="shared" si="10"/>
        <v>Profit</v>
      </c>
      <c r="V229" s="6" t="str">
        <f t="shared" si="11"/>
        <v>Low Sales</v>
      </c>
    </row>
    <row r="230" spans="1:22" x14ac:dyDescent="0.3">
      <c r="A230" s="1">
        <v>229</v>
      </c>
      <c r="B230" s="2">
        <v>40967</v>
      </c>
      <c r="C230" s="1">
        <v>2012</v>
      </c>
      <c r="D230" s="3" t="s">
        <v>314</v>
      </c>
      <c r="E230" s="2">
        <v>40972</v>
      </c>
      <c r="F230" s="1">
        <f t="shared" si="9"/>
        <v>5</v>
      </c>
      <c r="G230" s="1" t="s">
        <v>43</v>
      </c>
      <c r="H230" s="1" t="s">
        <v>474</v>
      </c>
      <c r="I230" s="1" t="s">
        <v>23</v>
      </c>
      <c r="J230" s="1" t="s">
        <v>24</v>
      </c>
      <c r="K230" s="1" t="s">
        <v>229</v>
      </c>
      <c r="L230" s="1" t="s">
        <v>207</v>
      </c>
      <c r="M230" s="1" t="s">
        <v>27</v>
      </c>
      <c r="N230" s="1" t="s">
        <v>28</v>
      </c>
      <c r="O230" s="1" t="s">
        <v>31</v>
      </c>
      <c r="P230" s="1" t="s">
        <v>475</v>
      </c>
      <c r="Q230" s="4">
        <v>161.56800000000001</v>
      </c>
      <c r="R230" s="1">
        <v>2</v>
      </c>
      <c r="S230" s="5">
        <v>0.2</v>
      </c>
      <c r="T230" s="4">
        <v>-28.2744</v>
      </c>
      <c r="U230" s="6" t="str">
        <f t="shared" si="10"/>
        <v>Loss</v>
      </c>
      <c r="V230" s="6" t="str">
        <f t="shared" si="11"/>
        <v>Low Sales</v>
      </c>
    </row>
    <row r="231" spans="1:22" x14ac:dyDescent="0.3">
      <c r="A231" s="1">
        <v>230</v>
      </c>
      <c r="B231" s="2">
        <v>40967</v>
      </c>
      <c r="C231" s="1">
        <v>2012</v>
      </c>
      <c r="D231" s="3" t="s">
        <v>314</v>
      </c>
      <c r="E231" s="2">
        <v>40972</v>
      </c>
      <c r="F231" s="1">
        <f t="shared" si="9"/>
        <v>5</v>
      </c>
      <c r="G231" s="1" t="s">
        <v>43</v>
      </c>
      <c r="H231" s="1" t="s">
        <v>474</v>
      </c>
      <c r="I231" s="1" t="s">
        <v>23</v>
      </c>
      <c r="J231" s="1" t="s">
        <v>24</v>
      </c>
      <c r="K231" s="1" t="s">
        <v>229</v>
      </c>
      <c r="L231" s="1" t="s">
        <v>207</v>
      </c>
      <c r="M231" s="1" t="s">
        <v>27</v>
      </c>
      <c r="N231" s="1" t="s">
        <v>28</v>
      </c>
      <c r="O231" s="1" t="s">
        <v>31</v>
      </c>
      <c r="P231" s="1" t="s">
        <v>476</v>
      </c>
      <c r="Q231" s="4">
        <v>389.69600000000003</v>
      </c>
      <c r="R231" s="1">
        <v>8</v>
      </c>
      <c r="S231" s="5">
        <v>0.2</v>
      </c>
      <c r="T231" s="4">
        <v>43.840800000000002</v>
      </c>
      <c r="U231" s="6" t="str">
        <f t="shared" si="10"/>
        <v>Profit</v>
      </c>
      <c r="V231" s="6" t="str">
        <f t="shared" si="11"/>
        <v>Low Sales</v>
      </c>
    </row>
    <row r="232" spans="1:22" x14ac:dyDescent="0.3">
      <c r="A232" s="1">
        <v>231</v>
      </c>
      <c r="B232" s="2">
        <v>40799</v>
      </c>
      <c r="C232" s="1">
        <v>2011</v>
      </c>
      <c r="D232" s="3" t="s">
        <v>109</v>
      </c>
      <c r="E232" s="2">
        <v>40803</v>
      </c>
      <c r="F232" s="1">
        <f t="shared" si="9"/>
        <v>4</v>
      </c>
      <c r="G232" s="1" t="s">
        <v>43</v>
      </c>
      <c r="H232" s="1" t="s">
        <v>477</v>
      </c>
      <c r="I232" s="1" t="s">
        <v>35</v>
      </c>
      <c r="J232" s="1" t="s">
        <v>24</v>
      </c>
      <c r="K232" s="1" t="s">
        <v>270</v>
      </c>
      <c r="L232" s="1" t="s">
        <v>68</v>
      </c>
      <c r="M232" s="1" t="s">
        <v>27</v>
      </c>
      <c r="N232" s="1" t="s">
        <v>39</v>
      </c>
      <c r="O232" s="1" t="s">
        <v>59</v>
      </c>
      <c r="P232" s="1" t="s">
        <v>478</v>
      </c>
      <c r="Q232" s="4">
        <v>18.648</v>
      </c>
      <c r="R232" s="1">
        <v>7</v>
      </c>
      <c r="S232" s="5">
        <v>0.7</v>
      </c>
      <c r="T232" s="4">
        <v>-12.432</v>
      </c>
      <c r="U232" s="6" t="str">
        <f t="shared" si="10"/>
        <v>Loss</v>
      </c>
      <c r="V232" s="6" t="str">
        <f t="shared" si="11"/>
        <v>Low Sales</v>
      </c>
    </row>
    <row r="233" spans="1:22" x14ac:dyDescent="0.3">
      <c r="A233" s="1">
        <v>232</v>
      </c>
      <c r="B233" s="2">
        <v>41737</v>
      </c>
      <c r="C233" s="1">
        <v>2014</v>
      </c>
      <c r="D233" s="3" t="s">
        <v>65</v>
      </c>
      <c r="E233" s="2">
        <v>41742</v>
      </c>
      <c r="F233" s="1">
        <f t="shared" si="9"/>
        <v>5</v>
      </c>
      <c r="G233" s="1" t="s">
        <v>43</v>
      </c>
      <c r="H233" s="1" t="s">
        <v>227</v>
      </c>
      <c r="I233" s="1" t="s">
        <v>77</v>
      </c>
      <c r="J233" s="1" t="s">
        <v>24</v>
      </c>
      <c r="K233" s="1" t="s">
        <v>479</v>
      </c>
      <c r="L233" s="1" t="s">
        <v>46</v>
      </c>
      <c r="M233" s="1" t="s">
        <v>27</v>
      </c>
      <c r="N233" s="1" t="s">
        <v>28</v>
      </c>
      <c r="O233" s="1" t="s">
        <v>47</v>
      </c>
      <c r="P233" s="1" t="s">
        <v>480</v>
      </c>
      <c r="Q233" s="4">
        <v>233.86</v>
      </c>
      <c r="R233" s="1">
        <v>2</v>
      </c>
      <c r="S233" s="5">
        <v>0.45</v>
      </c>
      <c r="T233" s="4">
        <v>-102.048</v>
      </c>
      <c r="U233" s="6" t="str">
        <f t="shared" si="10"/>
        <v>Loss</v>
      </c>
      <c r="V233" s="6" t="str">
        <f t="shared" si="11"/>
        <v>Low Sales</v>
      </c>
    </row>
    <row r="234" spans="1:22" x14ac:dyDescent="0.3">
      <c r="A234" s="1">
        <v>233</v>
      </c>
      <c r="B234" s="2">
        <v>41737</v>
      </c>
      <c r="C234" s="1">
        <v>2014</v>
      </c>
      <c r="D234" s="3" t="s">
        <v>65</v>
      </c>
      <c r="E234" s="2">
        <v>41742</v>
      </c>
      <c r="F234" s="1">
        <f t="shared" si="9"/>
        <v>5</v>
      </c>
      <c r="G234" s="1" t="s">
        <v>43</v>
      </c>
      <c r="H234" s="1" t="s">
        <v>227</v>
      </c>
      <c r="I234" s="1" t="s">
        <v>77</v>
      </c>
      <c r="J234" s="1" t="s">
        <v>24</v>
      </c>
      <c r="K234" s="1" t="s">
        <v>479</v>
      </c>
      <c r="L234" s="1" t="s">
        <v>46</v>
      </c>
      <c r="M234" s="1" t="s">
        <v>27</v>
      </c>
      <c r="N234" s="1" t="s">
        <v>28</v>
      </c>
      <c r="O234" s="1" t="s">
        <v>47</v>
      </c>
      <c r="P234" s="1" t="s">
        <v>481</v>
      </c>
      <c r="Q234" s="4">
        <v>620.61450000000002</v>
      </c>
      <c r="R234" s="1">
        <v>3</v>
      </c>
      <c r="S234" s="5">
        <v>0.45</v>
      </c>
      <c r="T234" s="4">
        <v>-248.2458</v>
      </c>
      <c r="U234" s="6" t="str">
        <f t="shared" si="10"/>
        <v>Loss</v>
      </c>
      <c r="V234" s="6" t="str">
        <f t="shared" si="11"/>
        <v>Medium Sales</v>
      </c>
    </row>
    <row r="235" spans="1:22" x14ac:dyDescent="0.3">
      <c r="A235" s="1">
        <v>234</v>
      </c>
      <c r="B235" s="2">
        <v>41737</v>
      </c>
      <c r="C235" s="1">
        <v>2014</v>
      </c>
      <c r="D235" s="3" t="s">
        <v>65</v>
      </c>
      <c r="E235" s="2">
        <v>41742</v>
      </c>
      <c r="F235" s="1">
        <f t="shared" si="9"/>
        <v>5</v>
      </c>
      <c r="G235" s="1" t="s">
        <v>43</v>
      </c>
      <c r="H235" s="1" t="s">
        <v>227</v>
      </c>
      <c r="I235" s="1" t="s">
        <v>77</v>
      </c>
      <c r="J235" s="1" t="s">
        <v>24</v>
      </c>
      <c r="K235" s="1" t="s">
        <v>479</v>
      </c>
      <c r="L235" s="1" t="s">
        <v>46</v>
      </c>
      <c r="M235" s="1" t="s">
        <v>27</v>
      </c>
      <c r="N235" s="1" t="s">
        <v>39</v>
      </c>
      <c r="O235" s="1" t="s">
        <v>59</v>
      </c>
      <c r="P235" s="1" t="s">
        <v>478</v>
      </c>
      <c r="Q235" s="4">
        <v>5.3280000000000003</v>
      </c>
      <c r="R235" s="1">
        <v>2</v>
      </c>
      <c r="S235" s="5">
        <v>0.7</v>
      </c>
      <c r="T235" s="4">
        <v>-3.552</v>
      </c>
      <c r="U235" s="6" t="str">
        <f t="shared" si="10"/>
        <v>Loss</v>
      </c>
      <c r="V235" s="6" t="str">
        <f t="shared" si="11"/>
        <v>Low Sales</v>
      </c>
    </row>
    <row r="236" spans="1:22" x14ac:dyDescent="0.3">
      <c r="A236" s="1">
        <v>235</v>
      </c>
      <c r="B236" s="2">
        <v>41737</v>
      </c>
      <c r="C236" s="1">
        <v>2014</v>
      </c>
      <c r="D236" s="3" t="s">
        <v>65</v>
      </c>
      <c r="E236" s="2">
        <v>41742</v>
      </c>
      <c r="F236" s="1">
        <f t="shared" si="9"/>
        <v>5</v>
      </c>
      <c r="G236" s="1" t="s">
        <v>43</v>
      </c>
      <c r="H236" s="1" t="s">
        <v>227</v>
      </c>
      <c r="I236" s="1" t="s">
        <v>77</v>
      </c>
      <c r="J236" s="1" t="s">
        <v>24</v>
      </c>
      <c r="K236" s="1" t="s">
        <v>479</v>
      </c>
      <c r="L236" s="1" t="s">
        <v>46</v>
      </c>
      <c r="M236" s="1" t="s">
        <v>27</v>
      </c>
      <c r="N236" s="1" t="s">
        <v>28</v>
      </c>
      <c r="O236" s="1" t="s">
        <v>52</v>
      </c>
      <c r="P236" s="1" t="s">
        <v>482</v>
      </c>
      <c r="Q236" s="4">
        <v>258.072</v>
      </c>
      <c r="R236" s="1">
        <v>3</v>
      </c>
      <c r="S236" s="5">
        <v>0.2</v>
      </c>
      <c r="T236" s="4">
        <v>0</v>
      </c>
      <c r="U236" s="6" t="str">
        <f t="shared" si="10"/>
        <v>Loss</v>
      </c>
      <c r="V236" s="6" t="str">
        <f t="shared" si="11"/>
        <v>Low Sales</v>
      </c>
    </row>
    <row r="237" spans="1:22" x14ac:dyDescent="0.3">
      <c r="A237" s="1">
        <v>236</v>
      </c>
      <c r="B237" s="2">
        <v>41737</v>
      </c>
      <c r="C237" s="1">
        <v>2014</v>
      </c>
      <c r="D237" s="3" t="s">
        <v>65</v>
      </c>
      <c r="E237" s="2">
        <v>41742</v>
      </c>
      <c r="F237" s="1">
        <f t="shared" si="9"/>
        <v>5</v>
      </c>
      <c r="G237" s="1" t="s">
        <v>43</v>
      </c>
      <c r="H237" s="1" t="s">
        <v>227</v>
      </c>
      <c r="I237" s="1" t="s">
        <v>77</v>
      </c>
      <c r="J237" s="1" t="s">
        <v>24</v>
      </c>
      <c r="K237" s="1" t="s">
        <v>479</v>
      </c>
      <c r="L237" s="1" t="s">
        <v>46</v>
      </c>
      <c r="M237" s="1" t="s">
        <v>27</v>
      </c>
      <c r="N237" s="1" t="s">
        <v>56</v>
      </c>
      <c r="O237" s="1" t="s">
        <v>115</v>
      </c>
      <c r="P237" s="1" t="s">
        <v>483</v>
      </c>
      <c r="Q237" s="4">
        <v>617.976</v>
      </c>
      <c r="R237" s="1">
        <v>3</v>
      </c>
      <c r="S237" s="5">
        <v>0.2</v>
      </c>
      <c r="T237" s="4">
        <v>-7.7247000000000003</v>
      </c>
      <c r="U237" s="6" t="str">
        <f t="shared" si="10"/>
        <v>Loss</v>
      </c>
      <c r="V237" s="6" t="str">
        <f t="shared" si="11"/>
        <v>Medium Sales</v>
      </c>
    </row>
    <row r="238" spans="1:22" x14ac:dyDescent="0.3">
      <c r="A238" s="1">
        <v>237</v>
      </c>
      <c r="B238" s="2">
        <v>41956</v>
      </c>
      <c r="C238" s="1">
        <v>2014</v>
      </c>
      <c r="D238" s="3" t="s">
        <v>20</v>
      </c>
      <c r="E238" s="2">
        <v>41960</v>
      </c>
      <c r="F238" s="1">
        <f t="shared" si="9"/>
        <v>4</v>
      </c>
      <c r="G238" s="1" t="s">
        <v>43</v>
      </c>
      <c r="H238" s="1" t="s">
        <v>484</v>
      </c>
      <c r="I238" s="1" t="s">
        <v>35</v>
      </c>
      <c r="J238" s="1" t="s">
        <v>24</v>
      </c>
      <c r="K238" s="1" t="s">
        <v>485</v>
      </c>
      <c r="L238" s="1" t="s">
        <v>37</v>
      </c>
      <c r="M238" s="1" t="s">
        <v>38</v>
      </c>
      <c r="N238" s="1" t="s">
        <v>39</v>
      </c>
      <c r="O238" s="1" t="s">
        <v>69</v>
      </c>
      <c r="P238" s="1" t="s">
        <v>486</v>
      </c>
      <c r="Q238" s="4">
        <v>10.56</v>
      </c>
      <c r="R238" s="1">
        <v>2</v>
      </c>
      <c r="S238" s="5">
        <v>0</v>
      </c>
      <c r="T238" s="4">
        <v>4.7519999999999998</v>
      </c>
      <c r="U238" s="6" t="str">
        <f t="shared" si="10"/>
        <v>Profit</v>
      </c>
      <c r="V238" s="6" t="str">
        <f t="shared" si="11"/>
        <v>Low Sales</v>
      </c>
    </row>
    <row r="239" spans="1:22" x14ac:dyDescent="0.3">
      <c r="A239" s="1">
        <v>238</v>
      </c>
      <c r="B239" s="2">
        <v>41430</v>
      </c>
      <c r="C239" s="1">
        <v>2013</v>
      </c>
      <c r="D239" s="3" t="s">
        <v>33</v>
      </c>
      <c r="E239" s="2">
        <v>41435</v>
      </c>
      <c r="F239" s="1">
        <f t="shared" si="9"/>
        <v>5</v>
      </c>
      <c r="G239" s="1" t="s">
        <v>21</v>
      </c>
      <c r="H239" s="1" t="s">
        <v>487</v>
      </c>
      <c r="I239" s="1" t="s">
        <v>23</v>
      </c>
      <c r="J239" s="1" t="s">
        <v>24</v>
      </c>
      <c r="K239" s="1" t="s">
        <v>190</v>
      </c>
      <c r="L239" s="1" t="s">
        <v>141</v>
      </c>
      <c r="M239" s="1" t="s">
        <v>80</v>
      </c>
      <c r="N239" s="1" t="s">
        <v>39</v>
      </c>
      <c r="O239" s="1" t="s">
        <v>69</v>
      </c>
      <c r="P239" s="1" t="s">
        <v>488</v>
      </c>
      <c r="Q239" s="4">
        <v>25.92</v>
      </c>
      <c r="R239" s="1">
        <v>5</v>
      </c>
      <c r="S239" s="5">
        <v>0.2</v>
      </c>
      <c r="T239" s="4">
        <v>9.3960000000000008</v>
      </c>
      <c r="U239" s="6" t="str">
        <f t="shared" si="10"/>
        <v>Profit</v>
      </c>
      <c r="V239" s="6" t="str">
        <f t="shared" si="11"/>
        <v>Low Sales</v>
      </c>
    </row>
    <row r="240" spans="1:22" x14ac:dyDescent="0.3">
      <c r="A240" s="1">
        <v>239</v>
      </c>
      <c r="B240" s="2">
        <v>41430</v>
      </c>
      <c r="C240" s="1">
        <v>2013</v>
      </c>
      <c r="D240" s="3" t="s">
        <v>33</v>
      </c>
      <c r="E240" s="2">
        <v>41435</v>
      </c>
      <c r="F240" s="1">
        <f t="shared" si="9"/>
        <v>5</v>
      </c>
      <c r="G240" s="1" t="s">
        <v>21</v>
      </c>
      <c r="H240" s="1" t="s">
        <v>487</v>
      </c>
      <c r="I240" s="1" t="s">
        <v>23</v>
      </c>
      <c r="J240" s="1" t="s">
        <v>24</v>
      </c>
      <c r="K240" s="1" t="s">
        <v>190</v>
      </c>
      <c r="L240" s="1" t="s">
        <v>141</v>
      </c>
      <c r="M240" s="1" t="s">
        <v>80</v>
      </c>
      <c r="N240" s="1" t="s">
        <v>28</v>
      </c>
      <c r="O240" s="1" t="s">
        <v>52</v>
      </c>
      <c r="P240" s="1" t="s">
        <v>489</v>
      </c>
      <c r="Q240" s="4">
        <v>419.68</v>
      </c>
      <c r="R240" s="1">
        <v>5</v>
      </c>
      <c r="S240" s="5">
        <v>0.6</v>
      </c>
      <c r="T240" s="4">
        <v>-356.72800000000001</v>
      </c>
      <c r="U240" s="6" t="str">
        <f t="shared" si="10"/>
        <v>Loss</v>
      </c>
      <c r="V240" s="6" t="str">
        <f t="shared" si="11"/>
        <v>Low Sales</v>
      </c>
    </row>
    <row r="241" spans="1:22" x14ac:dyDescent="0.3">
      <c r="A241" s="1">
        <v>240</v>
      </c>
      <c r="B241" s="2">
        <v>41430</v>
      </c>
      <c r="C241" s="1">
        <v>2013</v>
      </c>
      <c r="D241" s="3" t="s">
        <v>33</v>
      </c>
      <c r="E241" s="2">
        <v>41435</v>
      </c>
      <c r="F241" s="1">
        <f t="shared" si="9"/>
        <v>5</v>
      </c>
      <c r="G241" s="1" t="s">
        <v>21</v>
      </c>
      <c r="H241" s="1" t="s">
        <v>487</v>
      </c>
      <c r="I241" s="1" t="s">
        <v>23</v>
      </c>
      <c r="J241" s="1" t="s">
        <v>24</v>
      </c>
      <c r="K241" s="1" t="s">
        <v>190</v>
      </c>
      <c r="L241" s="1" t="s">
        <v>141</v>
      </c>
      <c r="M241" s="1" t="s">
        <v>80</v>
      </c>
      <c r="N241" s="1" t="s">
        <v>28</v>
      </c>
      <c r="O241" s="1" t="s">
        <v>52</v>
      </c>
      <c r="P241" s="1" t="s">
        <v>128</v>
      </c>
      <c r="Q241" s="4">
        <v>11.688000000000001</v>
      </c>
      <c r="R241" s="1">
        <v>3</v>
      </c>
      <c r="S241" s="5">
        <v>0.6</v>
      </c>
      <c r="T241" s="4">
        <v>-4.6752000000000002</v>
      </c>
      <c r="U241" s="6" t="str">
        <f t="shared" si="10"/>
        <v>Loss</v>
      </c>
      <c r="V241" s="6" t="str">
        <f t="shared" si="11"/>
        <v>Low Sales</v>
      </c>
    </row>
    <row r="242" spans="1:22" x14ac:dyDescent="0.3">
      <c r="A242" s="1">
        <v>241</v>
      </c>
      <c r="B242" s="2">
        <v>41430</v>
      </c>
      <c r="C242" s="1">
        <v>2013</v>
      </c>
      <c r="D242" s="3" t="s">
        <v>33</v>
      </c>
      <c r="E242" s="2">
        <v>41435</v>
      </c>
      <c r="F242" s="1">
        <f t="shared" si="9"/>
        <v>5</v>
      </c>
      <c r="G242" s="1" t="s">
        <v>21</v>
      </c>
      <c r="H242" s="1" t="s">
        <v>487</v>
      </c>
      <c r="I242" s="1" t="s">
        <v>23</v>
      </c>
      <c r="J242" s="1" t="s">
        <v>24</v>
      </c>
      <c r="K242" s="1" t="s">
        <v>190</v>
      </c>
      <c r="L242" s="1" t="s">
        <v>141</v>
      </c>
      <c r="M242" s="1" t="s">
        <v>80</v>
      </c>
      <c r="N242" s="1" t="s">
        <v>56</v>
      </c>
      <c r="O242" s="1" t="s">
        <v>57</v>
      </c>
      <c r="P242" s="1" t="s">
        <v>490</v>
      </c>
      <c r="Q242" s="4">
        <v>31.984000000000002</v>
      </c>
      <c r="R242" s="1">
        <v>2</v>
      </c>
      <c r="S242" s="5">
        <v>0.2</v>
      </c>
      <c r="T242" s="4">
        <v>11.1944</v>
      </c>
      <c r="U242" s="6" t="str">
        <f t="shared" si="10"/>
        <v>Profit</v>
      </c>
      <c r="V242" s="6" t="str">
        <f t="shared" si="11"/>
        <v>Low Sales</v>
      </c>
    </row>
    <row r="243" spans="1:22" x14ac:dyDescent="0.3">
      <c r="A243" s="1">
        <v>242</v>
      </c>
      <c r="B243" s="2">
        <v>41430</v>
      </c>
      <c r="C243" s="1">
        <v>2013</v>
      </c>
      <c r="D243" s="3" t="s">
        <v>33</v>
      </c>
      <c r="E243" s="2">
        <v>41435</v>
      </c>
      <c r="F243" s="1">
        <f t="shared" si="9"/>
        <v>5</v>
      </c>
      <c r="G243" s="1" t="s">
        <v>21</v>
      </c>
      <c r="H243" s="1" t="s">
        <v>487</v>
      </c>
      <c r="I243" s="1" t="s">
        <v>23</v>
      </c>
      <c r="J243" s="1" t="s">
        <v>24</v>
      </c>
      <c r="K243" s="1" t="s">
        <v>190</v>
      </c>
      <c r="L243" s="1" t="s">
        <v>141</v>
      </c>
      <c r="M243" s="1" t="s">
        <v>80</v>
      </c>
      <c r="N243" s="1" t="s">
        <v>28</v>
      </c>
      <c r="O243" s="1" t="s">
        <v>47</v>
      </c>
      <c r="P243" s="1" t="s">
        <v>491</v>
      </c>
      <c r="Q243" s="4">
        <v>177.22499999999999</v>
      </c>
      <c r="R243" s="1">
        <v>5</v>
      </c>
      <c r="S243" s="5">
        <v>0.5</v>
      </c>
      <c r="T243" s="4">
        <v>-120.51300000000001</v>
      </c>
      <c r="U243" s="6" t="str">
        <f t="shared" si="10"/>
        <v>Loss</v>
      </c>
      <c r="V243" s="6" t="str">
        <f t="shared" si="11"/>
        <v>Low Sales</v>
      </c>
    </row>
    <row r="244" spans="1:22" x14ac:dyDescent="0.3">
      <c r="A244" s="1">
        <v>243</v>
      </c>
      <c r="B244" s="2">
        <v>41430</v>
      </c>
      <c r="C244" s="1">
        <v>2013</v>
      </c>
      <c r="D244" s="3" t="s">
        <v>33</v>
      </c>
      <c r="E244" s="2">
        <v>41435</v>
      </c>
      <c r="F244" s="1">
        <f t="shared" si="9"/>
        <v>5</v>
      </c>
      <c r="G244" s="1" t="s">
        <v>21</v>
      </c>
      <c r="H244" s="1" t="s">
        <v>487</v>
      </c>
      <c r="I244" s="1" t="s">
        <v>23</v>
      </c>
      <c r="J244" s="1" t="s">
        <v>24</v>
      </c>
      <c r="K244" s="1" t="s">
        <v>190</v>
      </c>
      <c r="L244" s="1" t="s">
        <v>141</v>
      </c>
      <c r="M244" s="1" t="s">
        <v>80</v>
      </c>
      <c r="N244" s="1" t="s">
        <v>28</v>
      </c>
      <c r="O244" s="1" t="s">
        <v>52</v>
      </c>
      <c r="P244" s="1" t="s">
        <v>492</v>
      </c>
      <c r="Q244" s="4">
        <v>4.0439999999999996</v>
      </c>
      <c r="R244" s="1">
        <v>3</v>
      </c>
      <c r="S244" s="5">
        <v>0.6</v>
      </c>
      <c r="T244" s="4">
        <v>-2.8308</v>
      </c>
      <c r="U244" s="6" t="str">
        <f t="shared" si="10"/>
        <v>Loss</v>
      </c>
      <c r="V244" s="6" t="str">
        <f t="shared" si="11"/>
        <v>Low Sales</v>
      </c>
    </row>
    <row r="245" spans="1:22" x14ac:dyDescent="0.3">
      <c r="A245" s="1">
        <v>244</v>
      </c>
      <c r="B245" s="2">
        <v>41430</v>
      </c>
      <c r="C245" s="1">
        <v>2013</v>
      </c>
      <c r="D245" s="3" t="s">
        <v>33</v>
      </c>
      <c r="E245" s="2">
        <v>41435</v>
      </c>
      <c r="F245" s="1">
        <f t="shared" si="9"/>
        <v>5</v>
      </c>
      <c r="G245" s="1" t="s">
        <v>21</v>
      </c>
      <c r="H245" s="1" t="s">
        <v>487</v>
      </c>
      <c r="I245" s="1" t="s">
        <v>23</v>
      </c>
      <c r="J245" s="1" t="s">
        <v>24</v>
      </c>
      <c r="K245" s="1" t="s">
        <v>190</v>
      </c>
      <c r="L245" s="1" t="s">
        <v>141</v>
      </c>
      <c r="M245" s="1" t="s">
        <v>80</v>
      </c>
      <c r="N245" s="1" t="s">
        <v>39</v>
      </c>
      <c r="O245" s="1" t="s">
        <v>54</v>
      </c>
      <c r="P245" s="1" t="s">
        <v>422</v>
      </c>
      <c r="Q245" s="4">
        <v>7.4080000000000004</v>
      </c>
      <c r="R245" s="1">
        <v>2</v>
      </c>
      <c r="S245" s="5">
        <v>0.2</v>
      </c>
      <c r="T245" s="4">
        <v>1.2038</v>
      </c>
      <c r="U245" s="6" t="str">
        <f t="shared" si="10"/>
        <v>Profit</v>
      </c>
      <c r="V245" s="6" t="str">
        <f t="shared" si="11"/>
        <v>Low Sales</v>
      </c>
    </row>
    <row r="246" spans="1:22" x14ac:dyDescent="0.3">
      <c r="A246" s="1">
        <v>245</v>
      </c>
      <c r="B246" s="2">
        <v>40695</v>
      </c>
      <c r="C246" s="1">
        <v>2011</v>
      </c>
      <c r="D246" s="3" t="s">
        <v>33</v>
      </c>
      <c r="E246" s="2">
        <v>40700</v>
      </c>
      <c r="F246" s="1">
        <f t="shared" si="9"/>
        <v>5</v>
      </c>
      <c r="G246" s="1" t="s">
        <v>21</v>
      </c>
      <c r="H246" s="1" t="s">
        <v>493</v>
      </c>
      <c r="I246" s="1" t="s">
        <v>77</v>
      </c>
      <c r="J246" s="1" t="s">
        <v>24</v>
      </c>
      <c r="K246" s="1" t="s">
        <v>494</v>
      </c>
      <c r="L246" s="1" t="s">
        <v>151</v>
      </c>
      <c r="M246" s="1" t="s">
        <v>80</v>
      </c>
      <c r="N246" s="1" t="s">
        <v>28</v>
      </c>
      <c r="O246" s="1" t="s">
        <v>31</v>
      </c>
      <c r="P246" s="1" t="s">
        <v>303</v>
      </c>
      <c r="Q246" s="4">
        <v>2001.86</v>
      </c>
      <c r="R246" s="1">
        <v>7</v>
      </c>
      <c r="S246" s="5">
        <v>0</v>
      </c>
      <c r="T246" s="4">
        <v>580.5394</v>
      </c>
      <c r="U246" s="6" t="str">
        <f t="shared" si="10"/>
        <v>Profit</v>
      </c>
      <c r="V246" s="6" t="str">
        <f t="shared" si="11"/>
        <v>High Sales</v>
      </c>
    </row>
    <row r="247" spans="1:22" x14ac:dyDescent="0.3">
      <c r="A247" s="1">
        <v>246</v>
      </c>
      <c r="B247" s="2">
        <v>40695</v>
      </c>
      <c r="C247" s="1">
        <v>2011</v>
      </c>
      <c r="D247" s="3" t="s">
        <v>33</v>
      </c>
      <c r="E247" s="2">
        <v>40700</v>
      </c>
      <c r="F247" s="1">
        <f t="shared" si="9"/>
        <v>5</v>
      </c>
      <c r="G247" s="1" t="s">
        <v>21</v>
      </c>
      <c r="H247" s="1" t="s">
        <v>493</v>
      </c>
      <c r="I247" s="1" t="s">
        <v>77</v>
      </c>
      <c r="J247" s="1" t="s">
        <v>24</v>
      </c>
      <c r="K247" s="1" t="s">
        <v>494</v>
      </c>
      <c r="L247" s="1" t="s">
        <v>151</v>
      </c>
      <c r="M247" s="1" t="s">
        <v>80</v>
      </c>
      <c r="N247" s="1" t="s">
        <v>39</v>
      </c>
      <c r="O247" s="1" t="s">
        <v>49</v>
      </c>
      <c r="P247" s="1" t="s">
        <v>495</v>
      </c>
      <c r="Q247" s="4">
        <v>166.72</v>
      </c>
      <c r="R247" s="1">
        <v>2</v>
      </c>
      <c r="S247" s="5">
        <v>0</v>
      </c>
      <c r="T247" s="4">
        <v>41.68</v>
      </c>
      <c r="U247" s="6" t="str">
        <f t="shared" si="10"/>
        <v>Profit</v>
      </c>
      <c r="V247" s="6" t="str">
        <f t="shared" si="11"/>
        <v>Low Sales</v>
      </c>
    </row>
    <row r="248" spans="1:22" x14ac:dyDescent="0.3">
      <c r="A248" s="1">
        <v>247</v>
      </c>
      <c r="B248" s="2">
        <v>40695</v>
      </c>
      <c r="C248" s="1">
        <v>2011</v>
      </c>
      <c r="D248" s="3" t="s">
        <v>33</v>
      </c>
      <c r="E248" s="2">
        <v>40700</v>
      </c>
      <c r="F248" s="1">
        <f t="shared" si="9"/>
        <v>5</v>
      </c>
      <c r="G248" s="1" t="s">
        <v>21</v>
      </c>
      <c r="H248" s="1" t="s">
        <v>493</v>
      </c>
      <c r="I248" s="1" t="s">
        <v>77</v>
      </c>
      <c r="J248" s="1" t="s">
        <v>24</v>
      </c>
      <c r="K248" s="1" t="s">
        <v>494</v>
      </c>
      <c r="L248" s="1" t="s">
        <v>151</v>
      </c>
      <c r="M248" s="1" t="s">
        <v>80</v>
      </c>
      <c r="N248" s="1" t="s">
        <v>39</v>
      </c>
      <c r="O248" s="1" t="s">
        <v>69</v>
      </c>
      <c r="P248" s="1" t="s">
        <v>496</v>
      </c>
      <c r="Q248" s="4">
        <v>47.88</v>
      </c>
      <c r="R248" s="1">
        <v>6</v>
      </c>
      <c r="S248" s="5">
        <v>0</v>
      </c>
      <c r="T248" s="4">
        <v>23.94</v>
      </c>
      <c r="U248" s="6" t="str">
        <f t="shared" si="10"/>
        <v>Profit</v>
      </c>
      <c r="V248" s="6" t="str">
        <f t="shared" si="11"/>
        <v>Low Sales</v>
      </c>
    </row>
    <row r="249" spans="1:22" x14ac:dyDescent="0.3">
      <c r="A249" s="1">
        <v>248</v>
      </c>
      <c r="B249" s="2">
        <v>40695</v>
      </c>
      <c r="C249" s="1">
        <v>2011</v>
      </c>
      <c r="D249" s="3" t="s">
        <v>33</v>
      </c>
      <c r="E249" s="2">
        <v>40700</v>
      </c>
      <c r="F249" s="1">
        <f t="shared" si="9"/>
        <v>5</v>
      </c>
      <c r="G249" s="1" t="s">
        <v>21</v>
      </c>
      <c r="H249" s="1" t="s">
        <v>493</v>
      </c>
      <c r="I249" s="1" t="s">
        <v>77</v>
      </c>
      <c r="J249" s="1" t="s">
        <v>24</v>
      </c>
      <c r="K249" s="1" t="s">
        <v>494</v>
      </c>
      <c r="L249" s="1" t="s">
        <v>151</v>
      </c>
      <c r="M249" s="1" t="s">
        <v>80</v>
      </c>
      <c r="N249" s="1" t="s">
        <v>39</v>
      </c>
      <c r="O249" s="1" t="s">
        <v>61</v>
      </c>
      <c r="P249" s="1" t="s">
        <v>497</v>
      </c>
      <c r="Q249" s="4">
        <v>1503.25</v>
      </c>
      <c r="R249" s="1">
        <v>5</v>
      </c>
      <c r="S249" s="5">
        <v>0</v>
      </c>
      <c r="T249" s="4">
        <v>496.07249999999999</v>
      </c>
      <c r="U249" s="6" t="str">
        <f t="shared" si="10"/>
        <v>Profit</v>
      </c>
      <c r="V249" s="6" t="str">
        <f t="shared" si="11"/>
        <v>High Sales</v>
      </c>
    </row>
    <row r="250" spans="1:22" x14ac:dyDescent="0.3">
      <c r="A250" s="1">
        <v>249</v>
      </c>
      <c r="B250" s="2">
        <v>40695</v>
      </c>
      <c r="C250" s="1">
        <v>2011</v>
      </c>
      <c r="D250" s="3" t="s">
        <v>33</v>
      </c>
      <c r="E250" s="2">
        <v>40700</v>
      </c>
      <c r="F250" s="1">
        <f t="shared" si="9"/>
        <v>5</v>
      </c>
      <c r="G250" s="1" t="s">
        <v>21</v>
      </c>
      <c r="H250" s="1" t="s">
        <v>493</v>
      </c>
      <c r="I250" s="1" t="s">
        <v>77</v>
      </c>
      <c r="J250" s="1" t="s">
        <v>24</v>
      </c>
      <c r="K250" s="1" t="s">
        <v>494</v>
      </c>
      <c r="L250" s="1" t="s">
        <v>151</v>
      </c>
      <c r="M250" s="1" t="s">
        <v>80</v>
      </c>
      <c r="N250" s="1" t="s">
        <v>39</v>
      </c>
      <c r="O250" s="1" t="s">
        <v>69</v>
      </c>
      <c r="P250" s="1" t="s">
        <v>416</v>
      </c>
      <c r="Q250" s="4">
        <v>25.92</v>
      </c>
      <c r="R250" s="1">
        <v>4</v>
      </c>
      <c r="S250" s="5">
        <v>0</v>
      </c>
      <c r="T250" s="4">
        <v>12.441599999999999</v>
      </c>
      <c r="U250" s="6" t="str">
        <f t="shared" si="10"/>
        <v>Profit</v>
      </c>
      <c r="V250" s="6" t="str">
        <f t="shared" si="11"/>
        <v>Low Sales</v>
      </c>
    </row>
    <row r="251" spans="1:22" x14ac:dyDescent="0.3">
      <c r="A251" s="1">
        <v>250</v>
      </c>
      <c r="B251" s="2">
        <v>41619</v>
      </c>
      <c r="C251" s="1">
        <v>2013</v>
      </c>
      <c r="D251" s="3" t="s">
        <v>71</v>
      </c>
      <c r="E251" s="2">
        <v>41624</v>
      </c>
      <c r="F251" s="1">
        <f t="shared" si="9"/>
        <v>5</v>
      </c>
      <c r="G251" s="1" t="s">
        <v>21</v>
      </c>
      <c r="H251" s="1" t="s">
        <v>498</v>
      </c>
      <c r="I251" s="1" t="s">
        <v>23</v>
      </c>
      <c r="J251" s="1" t="s">
        <v>24</v>
      </c>
      <c r="K251" s="1" t="s">
        <v>94</v>
      </c>
      <c r="L251" s="1" t="s">
        <v>37</v>
      </c>
      <c r="M251" s="1" t="s">
        <v>38</v>
      </c>
      <c r="N251" s="1" t="s">
        <v>28</v>
      </c>
      <c r="O251" s="1" t="s">
        <v>31</v>
      </c>
      <c r="P251" s="1" t="s">
        <v>499</v>
      </c>
      <c r="Q251" s="4">
        <v>321.56799999999998</v>
      </c>
      <c r="R251" s="1">
        <v>2</v>
      </c>
      <c r="S251" s="5">
        <v>0.2</v>
      </c>
      <c r="T251" s="4">
        <v>28.1372</v>
      </c>
      <c r="U251" s="6" t="str">
        <f t="shared" si="10"/>
        <v>Profit</v>
      </c>
      <c r="V251" s="6" t="str">
        <f t="shared" si="11"/>
        <v>Low Sales</v>
      </c>
    </row>
    <row r="252" spans="1:22" x14ac:dyDescent="0.3">
      <c r="A252" s="1">
        <v>251</v>
      </c>
      <c r="B252" s="2">
        <v>41529</v>
      </c>
      <c r="C252" s="1">
        <v>2013</v>
      </c>
      <c r="D252" s="3" t="s">
        <v>109</v>
      </c>
      <c r="E252" s="2">
        <v>41535</v>
      </c>
      <c r="F252" s="1">
        <f t="shared" si="9"/>
        <v>6</v>
      </c>
      <c r="G252" s="1" t="s">
        <v>43</v>
      </c>
      <c r="H252" s="1" t="s">
        <v>500</v>
      </c>
      <c r="I252" s="1" t="s">
        <v>23</v>
      </c>
      <c r="J252" s="1" t="s">
        <v>24</v>
      </c>
      <c r="K252" s="1" t="s">
        <v>501</v>
      </c>
      <c r="L252" s="1" t="s">
        <v>37</v>
      </c>
      <c r="M252" s="1" t="s">
        <v>38</v>
      </c>
      <c r="N252" s="1" t="s">
        <v>39</v>
      </c>
      <c r="O252" s="1" t="s">
        <v>69</v>
      </c>
      <c r="P252" s="1" t="s">
        <v>502</v>
      </c>
      <c r="Q252" s="4">
        <v>7.61</v>
      </c>
      <c r="R252" s="1">
        <v>1</v>
      </c>
      <c r="S252" s="5">
        <v>0</v>
      </c>
      <c r="T252" s="4">
        <v>3.5767000000000002</v>
      </c>
      <c r="U252" s="6" t="str">
        <f t="shared" si="10"/>
        <v>Profit</v>
      </c>
      <c r="V252" s="6" t="str">
        <f t="shared" si="11"/>
        <v>Low Sales</v>
      </c>
    </row>
    <row r="253" spans="1:22" x14ac:dyDescent="0.3">
      <c r="A253" s="1">
        <v>252</v>
      </c>
      <c r="B253" s="2">
        <v>41529</v>
      </c>
      <c r="C253" s="1">
        <v>2013</v>
      </c>
      <c r="D253" s="3" t="s">
        <v>109</v>
      </c>
      <c r="E253" s="2">
        <v>41535</v>
      </c>
      <c r="F253" s="1">
        <f t="shared" si="9"/>
        <v>6</v>
      </c>
      <c r="G253" s="1" t="s">
        <v>43</v>
      </c>
      <c r="H253" s="1" t="s">
        <v>500</v>
      </c>
      <c r="I253" s="1" t="s">
        <v>23</v>
      </c>
      <c r="J253" s="1" t="s">
        <v>24</v>
      </c>
      <c r="K253" s="1" t="s">
        <v>501</v>
      </c>
      <c r="L253" s="1" t="s">
        <v>37</v>
      </c>
      <c r="M253" s="1" t="s">
        <v>38</v>
      </c>
      <c r="N253" s="1" t="s">
        <v>56</v>
      </c>
      <c r="O253" s="1" t="s">
        <v>115</v>
      </c>
      <c r="P253" s="1" t="s">
        <v>483</v>
      </c>
      <c r="Q253" s="4">
        <v>3347.37</v>
      </c>
      <c r="R253" s="1">
        <v>13</v>
      </c>
      <c r="S253" s="5">
        <v>0</v>
      </c>
      <c r="T253" s="4">
        <v>636.00030000000004</v>
      </c>
      <c r="U253" s="6" t="str">
        <f t="shared" si="10"/>
        <v>Profit</v>
      </c>
      <c r="V253" s="6" t="str">
        <f t="shared" si="11"/>
        <v>High Sales</v>
      </c>
    </row>
    <row r="254" spans="1:22" x14ac:dyDescent="0.3">
      <c r="A254" s="1">
        <v>253</v>
      </c>
      <c r="B254" s="2">
        <v>41619</v>
      </c>
      <c r="C254" s="1">
        <v>2013</v>
      </c>
      <c r="D254" s="3" t="s">
        <v>71</v>
      </c>
      <c r="E254" s="2">
        <v>41622</v>
      </c>
      <c r="F254" s="1">
        <f t="shared" si="9"/>
        <v>3</v>
      </c>
      <c r="G254" s="1" t="s">
        <v>129</v>
      </c>
      <c r="H254" s="1" t="s">
        <v>503</v>
      </c>
      <c r="I254" s="1" t="s">
        <v>23</v>
      </c>
      <c r="J254" s="1" t="s">
        <v>24</v>
      </c>
      <c r="K254" s="1" t="s">
        <v>171</v>
      </c>
      <c r="L254" s="1" t="s">
        <v>172</v>
      </c>
      <c r="M254" s="1" t="s">
        <v>107</v>
      </c>
      <c r="N254" s="1" t="s">
        <v>39</v>
      </c>
      <c r="O254" s="1" t="s">
        <v>49</v>
      </c>
      <c r="P254" s="1" t="s">
        <v>504</v>
      </c>
      <c r="Q254" s="4">
        <v>80.58</v>
      </c>
      <c r="R254" s="1">
        <v>6</v>
      </c>
      <c r="S254" s="5">
        <v>0</v>
      </c>
      <c r="T254" s="4">
        <v>22.5624</v>
      </c>
      <c r="U254" s="6" t="str">
        <f t="shared" si="10"/>
        <v>Profit</v>
      </c>
      <c r="V254" s="6" t="str">
        <f t="shared" si="11"/>
        <v>Low Sales</v>
      </c>
    </row>
    <row r="255" spans="1:22" x14ac:dyDescent="0.3">
      <c r="A255" s="1">
        <v>254</v>
      </c>
      <c r="B255" s="2">
        <v>41619</v>
      </c>
      <c r="C255" s="1">
        <v>2013</v>
      </c>
      <c r="D255" s="3" t="s">
        <v>71</v>
      </c>
      <c r="E255" s="2">
        <v>41622</v>
      </c>
      <c r="F255" s="1">
        <f t="shared" si="9"/>
        <v>3</v>
      </c>
      <c r="G255" s="1" t="s">
        <v>129</v>
      </c>
      <c r="H255" s="1" t="s">
        <v>503</v>
      </c>
      <c r="I255" s="1" t="s">
        <v>23</v>
      </c>
      <c r="J255" s="1" t="s">
        <v>24</v>
      </c>
      <c r="K255" s="1" t="s">
        <v>171</v>
      </c>
      <c r="L255" s="1" t="s">
        <v>172</v>
      </c>
      <c r="M255" s="1" t="s">
        <v>107</v>
      </c>
      <c r="N255" s="1" t="s">
        <v>39</v>
      </c>
      <c r="O255" s="1" t="s">
        <v>121</v>
      </c>
      <c r="P255" s="1" t="s">
        <v>505</v>
      </c>
      <c r="Q255" s="4">
        <v>361.92</v>
      </c>
      <c r="R255" s="1">
        <v>4</v>
      </c>
      <c r="S255" s="5">
        <v>0</v>
      </c>
      <c r="T255" s="4">
        <v>162.864</v>
      </c>
      <c r="U255" s="6" t="str">
        <f t="shared" si="10"/>
        <v>Profit</v>
      </c>
      <c r="V255" s="6" t="str">
        <f t="shared" si="11"/>
        <v>Low Sales</v>
      </c>
    </row>
    <row r="256" spans="1:22" x14ac:dyDescent="0.3">
      <c r="A256" s="1">
        <v>255</v>
      </c>
      <c r="B256" s="2">
        <v>41241</v>
      </c>
      <c r="C256" s="1">
        <v>2012</v>
      </c>
      <c r="D256" s="3" t="s">
        <v>20</v>
      </c>
      <c r="E256" s="2">
        <v>41247</v>
      </c>
      <c r="F256" s="1">
        <f t="shared" si="9"/>
        <v>6</v>
      </c>
      <c r="G256" s="1" t="s">
        <v>43</v>
      </c>
      <c r="H256" s="1" t="s">
        <v>506</v>
      </c>
      <c r="I256" s="1" t="s">
        <v>35</v>
      </c>
      <c r="J256" s="1" t="s">
        <v>24</v>
      </c>
      <c r="K256" s="1" t="s">
        <v>190</v>
      </c>
      <c r="L256" s="1" t="s">
        <v>141</v>
      </c>
      <c r="M256" s="1" t="s">
        <v>80</v>
      </c>
      <c r="N256" s="1" t="s">
        <v>28</v>
      </c>
      <c r="O256" s="1" t="s">
        <v>52</v>
      </c>
      <c r="P256" s="1" t="s">
        <v>492</v>
      </c>
      <c r="Q256" s="4">
        <v>12.132</v>
      </c>
      <c r="R256" s="1">
        <v>9</v>
      </c>
      <c r="S256" s="5">
        <v>0.6</v>
      </c>
      <c r="T256" s="4">
        <v>-8.4923999999999999</v>
      </c>
      <c r="U256" s="6" t="str">
        <f t="shared" si="10"/>
        <v>Loss</v>
      </c>
      <c r="V256" s="6" t="str">
        <f t="shared" si="11"/>
        <v>Low Sales</v>
      </c>
    </row>
    <row r="257" spans="1:22" x14ac:dyDescent="0.3">
      <c r="A257" s="1">
        <v>256</v>
      </c>
      <c r="B257" s="2">
        <v>41241</v>
      </c>
      <c r="C257" s="1">
        <v>2012</v>
      </c>
      <c r="D257" s="3" t="s">
        <v>20</v>
      </c>
      <c r="E257" s="2">
        <v>41247</v>
      </c>
      <c r="F257" s="1">
        <f t="shared" si="9"/>
        <v>6</v>
      </c>
      <c r="G257" s="1" t="s">
        <v>43</v>
      </c>
      <c r="H257" s="1" t="s">
        <v>506</v>
      </c>
      <c r="I257" s="1" t="s">
        <v>35</v>
      </c>
      <c r="J257" s="1" t="s">
        <v>24</v>
      </c>
      <c r="K257" s="1" t="s">
        <v>190</v>
      </c>
      <c r="L257" s="1" t="s">
        <v>141</v>
      </c>
      <c r="M257" s="1" t="s">
        <v>80</v>
      </c>
      <c r="N257" s="1" t="s">
        <v>39</v>
      </c>
      <c r="O257" s="1" t="s">
        <v>49</v>
      </c>
      <c r="P257" s="1" t="s">
        <v>507</v>
      </c>
      <c r="Q257" s="4">
        <v>82.367999999999995</v>
      </c>
      <c r="R257" s="1">
        <v>2</v>
      </c>
      <c r="S257" s="5">
        <v>0.2</v>
      </c>
      <c r="T257" s="4">
        <v>-19.5624</v>
      </c>
      <c r="U257" s="6" t="str">
        <f t="shared" si="10"/>
        <v>Loss</v>
      </c>
      <c r="V257" s="6" t="str">
        <f t="shared" si="11"/>
        <v>Low Sales</v>
      </c>
    </row>
    <row r="258" spans="1:22" x14ac:dyDescent="0.3">
      <c r="A258" s="1">
        <v>257</v>
      </c>
      <c r="B258" s="2">
        <v>41241</v>
      </c>
      <c r="C258" s="1">
        <v>2012</v>
      </c>
      <c r="D258" s="3" t="s">
        <v>20</v>
      </c>
      <c r="E258" s="2">
        <v>41247</v>
      </c>
      <c r="F258" s="1">
        <f t="shared" ref="F258:F300" si="12">_xlfn.DAYS(E258,B258)</f>
        <v>6</v>
      </c>
      <c r="G258" s="1" t="s">
        <v>43</v>
      </c>
      <c r="H258" s="1" t="s">
        <v>506</v>
      </c>
      <c r="I258" s="1" t="s">
        <v>35</v>
      </c>
      <c r="J258" s="1" t="s">
        <v>24</v>
      </c>
      <c r="K258" s="1" t="s">
        <v>190</v>
      </c>
      <c r="L258" s="1" t="s">
        <v>141</v>
      </c>
      <c r="M258" s="1" t="s">
        <v>80</v>
      </c>
      <c r="N258" s="1" t="s">
        <v>39</v>
      </c>
      <c r="O258" s="1" t="s">
        <v>49</v>
      </c>
      <c r="P258" s="1" t="s">
        <v>354</v>
      </c>
      <c r="Q258" s="4">
        <v>53.92</v>
      </c>
      <c r="R258" s="1">
        <v>5</v>
      </c>
      <c r="S258" s="5">
        <v>0.2</v>
      </c>
      <c r="T258" s="4">
        <v>4.0439999999999996</v>
      </c>
      <c r="U258" s="6" t="str">
        <f t="shared" si="10"/>
        <v>Profit</v>
      </c>
      <c r="V258" s="6" t="str">
        <f t="shared" si="11"/>
        <v>Low Sales</v>
      </c>
    </row>
    <row r="259" spans="1:22" x14ac:dyDescent="0.3">
      <c r="A259" s="1">
        <v>258</v>
      </c>
      <c r="B259" s="2">
        <v>41241</v>
      </c>
      <c r="C259" s="1">
        <v>2012</v>
      </c>
      <c r="D259" s="3" t="s">
        <v>20</v>
      </c>
      <c r="E259" s="2">
        <v>41247</v>
      </c>
      <c r="F259" s="1">
        <f t="shared" si="12"/>
        <v>6</v>
      </c>
      <c r="G259" s="1" t="s">
        <v>43</v>
      </c>
      <c r="H259" s="1" t="s">
        <v>506</v>
      </c>
      <c r="I259" s="1" t="s">
        <v>35</v>
      </c>
      <c r="J259" s="1" t="s">
        <v>24</v>
      </c>
      <c r="K259" s="1" t="s">
        <v>190</v>
      </c>
      <c r="L259" s="1" t="s">
        <v>141</v>
      </c>
      <c r="M259" s="1" t="s">
        <v>80</v>
      </c>
      <c r="N259" s="1" t="s">
        <v>56</v>
      </c>
      <c r="O259" s="1" t="s">
        <v>57</v>
      </c>
      <c r="P259" s="1" t="s">
        <v>508</v>
      </c>
      <c r="Q259" s="4">
        <v>647.904</v>
      </c>
      <c r="R259" s="1">
        <v>6</v>
      </c>
      <c r="S259" s="5">
        <v>0.2</v>
      </c>
      <c r="T259" s="4">
        <v>56.691600000000001</v>
      </c>
      <c r="U259" s="6" t="str">
        <f t="shared" ref="U259:U300" si="13">IF(T259&gt;0,"Profit","Loss")</f>
        <v>Profit</v>
      </c>
      <c r="V259" s="6" t="str">
        <f t="shared" ref="V259:V300" si="14">IF(Q259&gt;=1000,"High Sales",IF(Q259&gt;=500,"Medium Sales","Low Sales"))</f>
        <v>Medium Sales</v>
      </c>
    </row>
    <row r="260" spans="1:22" x14ac:dyDescent="0.3">
      <c r="A260" s="1">
        <v>259</v>
      </c>
      <c r="B260" s="2">
        <v>41975</v>
      </c>
      <c r="C260" s="1">
        <v>2014</v>
      </c>
      <c r="D260" s="3" t="s">
        <v>71</v>
      </c>
      <c r="E260" s="2">
        <v>41977</v>
      </c>
      <c r="F260" s="1">
        <f t="shared" si="12"/>
        <v>2</v>
      </c>
      <c r="G260" s="1" t="s">
        <v>21</v>
      </c>
      <c r="H260" s="1" t="s">
        <v>509</v>
      </c>
      <c r="I260" s="1" t="s">
        <v>23</v>
      </c>
      <c r="J260" s="1" t="s">
        <v>24</v>
      </c>
      <c r="K260" s="1" t="s">
        <v>171</v>
      </c>
      <c r="L260" s="1" t="s">
        <v>172</v>
      </c>
      <c r="M260" s="1" t="s">
        <v>107</v>
      </c>
      <c r="N260" s="1" t="s">
        <v>56</v>
      </c>
      <c r="O260" s="1" t="s">
        <v>115</v>
      </c>
      <c r="P260" s="1" t="s">
        <v>510</v>
      </c>
      <c r="Q260" s="4">
        <v>20.37</v>
      </c>
      <c r="R260" s="1">
        <v>3</v>
      </c>
      <c r="S260" s="5">
        <v>0</v>
      </c>
      <c r="T260" s="4">
        <v>6.9257999999999997</v>
      </c>
      <c r="U260" s="6" t="str">
        <f t="shared" si="13"/>
        <v>Profit</v>
      </c>
      <c r="V260" s="6" t="str">
        <f t="shared" si="14"/>
        <v>Low Sales</v>
      </c>
    </row>
    <row r="261" spans="1:22" x14ac:dyDescent="0.3">
      <c r="A261" s="1">
        <v>260</v>
      </c>
      <c r="B261" s="2">
        <v>41975</v>
      </c>
      <c r="C261" s="1">
        <v>2014</v>
      </c>
      <c r="D261" s="3" t="s">
        <v>71</v>
      </c>
      <c r="E261" s="2">
        <v>41977</v>
      </c>
      <c r="F261" s="1">
        <f t="shared" si="12"/>
        <v>2</v>
      </c>
      <c r="G261" s="1" t="s">
        <v>21</v>
      </c>
      <c r="H261" s="1" t="s">
        <v>509</v>
      </c>
      <c r="I261" s="1" t="s">
        <v>23</v>
      </c>
      <c r="J261" s="1" t="s">
        <v>24</v>
      </c>
      <c r="K261" s="1" t="s">
        <v>171</v>
      </c>
      <c r="L261" s="1" t="s">
        <v>172</v>
      </c>
      <c r="M261" s="1" t="s">
        <v>107</v>
      </c>
      <c r="N261" s="1" t="s">
        <v>39</v>
      </c>
      <c r="O261" s="1" t="s">
        <v>49</v>
      </c>
      <c r="P261" s="1" t="s">
        <v>511</v>
      </c>
      <c r="Q261" s="4">
        <v>221.55</v>
      </c>
      <c r="R261" s="1">
        <v>3</v>
      </c>
      <c r="S261" s="5">
        <v>0</v>
      </c>
      <c r="T261" s="4">
        <v>6.6464999999999996</v>
      </c>
      <c r="U261" s="6" t="str">
        <f t="shared" si="13"/>
        <v>Profit</v>
      </c>
      <c r="V261" s="6" t="str">
        <f t="shared" si="14"/>
        <v>Low Sales</v>
      </c>
    </row>
    <row r="262" spans="1:22" x14ac:dyDescent="0.3">
      <c r="A262" s="1">
        <v>261</v>
      </c>
      <c r="B262" s="2">
        <v>41975</v>
      </c>
      <c r="C262" s="1">
        <v>2014</v>
      </c>
      <c r="D262" s="3" t="s">
        <v>71</v>
      </c>
      <c r="E262" s="2">
        <v>41977</v>
      </c>
      <c r="F262" s="1">
        <f t="shared" si="12"/>
        <v>2</v>
      </c>
      <c r="G262" s="1" t="s">
        <v>21</v>
      </c>
      <c r="H262" s="1" t="s">
        <v>509</v>
      </c>
      <c r="I262" s="1" t="s">
        <v>23</v>
      </c>
      <c r="J262" s="1" t="s">
        <v>24</v>
      </c>
      <c r="K262" s="1" t="s">
        <v>171</v>
      </c>
      <c r="L262" s="1" t="s">
        <v>172</v>
      </c>
      <c r="M262" s="1" t="s">
        <v>107</v>
      </c>
      <c r="N262" s="1" t="s">
        <v>39</v>
      </c>
      <c r="O262" s="1" t="s">
        <v>59</v>
      </c>
      <c r="P262" s="1" t="s">
        <v>512</v>
      </c>
      <c r="Q262" s="4">
        <v>17.52</v>
      </c>
      <c r="R262" s="1">
        <v>5</v>
      </c>
      <c r="S262" s="5">
        <v>0.2</v>
      </c>
      <c r="T262" s="4">
        <v>6.1319999999999997</v>
      </c>
      <c r="U262" s="6" t="str">
        <f t="shared" si="13"/>
        <v>Profit</v>
      </c>
      <c r="V262" s="6" t="str">
        <f t="shared" si="14"/>
        <v>Low Sales</v>
      </c>
    </row>
    <row r="263" spans="1:22" x14ac:dyDescent="0.3">
      <c r="A263" s="1">
        <v>262</v>
      </c>
      <c r="B263" s="2">
        <v>41799</v>
      </c>
      <c r="C263" s="1">
        <v>2014</v>
      </c>
      <c r="D263" s="3" t="s">
        <v>33</v>
      </c>
      <c r="E263" s="2">
        <v>41803</v>
      </c>
      <c r="F263" s="1">
        <f t="shared" si="12"/>
        <v>4</v>
      </c>
      <c r="G263" s="1" t="s">
        <v>43</v>
      </c>
      <c r="H263" s="1" t="s">
        <v>513</v>
      </c>
      <c r="I263" s="1" t="s">
        <v>35</v>
      </c>
      <c r="J263" s="1" t="s">
        <v>24</v>
      </c>
      <c r="K263" s="1" t="s">
        <v>337</v>
      </c>
      <c r="L263" s="1" t="s">
        <v>79</v>
      </c>
      <c r="M263" s="1" t="s">
        <v>80</v>
      </c>
      <c r="N263" s="1" t="s">
        <v>39</v>
      </c>
      <c r="O263" s="1" t="s">
        <v>61</v>
      </c>
      <c r="P263" s="1" t="s">
        <v>514</v>
      </c>
      <c r="Q263" s="4">
        <v>1.6240000000000001</v>
      </c>
      <c r="R263" s="1">
        <v>2</v>
      </c>
      <c r="S263" s="5">
        <v>0.8</v>
      </c>
      <c r="T263" s="4">
        <v>-4.4660000000000002</v>
      </c>
      <c r="U263" s="6" t="str">
        <f t="shared" si="13"/>
        <v>Loss</v>
      </c>
      <c r="V263" s="6" t="str">
        <f t="shared" si="14"/>
        <v>Low Sales</v>
      </c>
    </row>
    <row r="264" spans="1:22" x14ac:dyDescent="0.3">
      <c r="A264" s="1">
        <v>263</v>
      </c>
      <c r="B264" s="2">
        <v>40805</v>
      </c>
      <c r="C264" s="1">
        <v>2011</v>
      </c>
      <c r="D264" s="3" t="s">
        <v>109</v>
      </c>
      <c r="E264" s="2">
        <v>40807</v>
      </c>
      <c r="F264" s="1">
        <f t="shared" si="12"/>
        <v>2</v>
      </c>
      <c r="G264" s="1" t="s">
        <v>21</v>
      </c>
      <c r="H264" s="1" t="s">
        <v>515</v>
      </c>
      <c r="I264" s="1" t="s">
        <v>35</v>
      </c>
      <c r="J264" s="1" t="s">
        <v>24</v>
      </c>
      <c r="K264" s="1" t="s">
        <v>127</v>
      </c>
      <c r="L264" s="1" t="s">
        <v>79</v>
      </c>
      <c r="M264" s="1" t="s">
        <v>80</v>
      </c>
      <c r="N264" s="1" t="s">
        <v>56</v>
      </c>
      <c r="O264" s="1" t="s">
        <v>375</v>
      </c>
      <c r="P264" s="1" t="s">
        <v>376</v>
      </c>
      <c r="Q264" s="4">
        <v>3059.982</v>
      </c>
      <c r="R264" s="1">
        <v>3</v>
      </c>
      <c r="S264" s="5">
        <v>0.4</v>
      </c>
      <c r="T264" s="4">
        <v>-509.99700000000001</v>
      </c>
      <c r="U264" s="6" t="str">
        <f t="shared" si="13"/>
        <v>Loss</v>
      </c>
      <c r="V264" s="6" t="str">
        <f t="shared" si="14"/>
        <v>High Sales</v>
      </c>
    </row>
    <row r="265" spans="1:22" x14ac:dyDescent="0.3">
      <c r="A265" s="1">
        <v>264</v>
      </c>
      <c r="B265" s="2">
        <v>40805</v>
      </c>
      <c r="C265" s="1">
        <v>2011</v>
      </c>
      <c r="D265" s="3" t="s">
        <v>109</v>
      </c>
      <c r="E265" s="2">
        <v>40807</v>
      </c>
      <c r="F265" s="1">
        <f t="shared" si="12"/>
        <v>2</v>
      </c>
      <c r="G265" s="1" t="s">
        <v>21</v>
      </c>
      <c r="H265" s="1" t="s">
        <v>515</v>
      </c>
      <c r="I265" s="1" t="s">
        <v>35</v>
      </c>
      <c r="J265" s="1" t="s">
        <v>24</v>
      </c>
      <c r="K265" s="1" t="s">
        <v>127</v>
      </c>
      <c r="L265" s="1" t="s">
        <v>79</v>
      </c>
      <c r="M265" s="1" t="s">
        <v>80</v>
      </c>
      <c r="N265" s="1" t="s">
        <v>56</v>
      </c>
      <c r="O265" s="1" t="s">
        <v>375</v>
      </c>
      <c r="P265" s="1" t="s">
        <v>516</v>
      </c>
      <c r="Q265" s="4">
        <v>2519.9580000000001</v>
      </c>
      <c r="R265" s="1">
        <v>7</v>
      </c>
      <c r="S265" s="5">
        <v>0.4</v>
      </c>
      <c r="T265" s="4">
        <v>-251.9958</v>
      </c>
      <c r="U265" s="6" t="str">
        <f t="shared" si="13"/>
        <v>Loss</v>
      </c>
      <c r="V265" s="6" t="str">
        <f t="shared" si="14"/>
        <v>High Sales</v>
      </c>
    </row>
    <row r="266" spans="1:22" x14ac:dyDescent="0.3">
      <c r="A266" s="1">
        <v>265</v>
      </c>
      <c r="B266" s="2">
        <v>41432</v>
      </c>
      <c r="C266" s="1">
        <v>2013</v>
      </c>
      <c r="D266" s="3" t="s">
        <v>33</v>
      </c>
      <c r="E266" s="2">
        <v>41439</v>
      </c>
      <c r="F266" s="1">
        <f t="shared" si="12"/>
        <v>7</v>
      </c>
      <c r="G266" s="1" t="s">
        <v>43</v>
      </c>
      <c r="H266" s="1" t="s">
        <v>517</v>
      </c>
      <c r="I266" s="1" t="s">
        <v>23</v>
      </c>
      <c r="J266" s="1" t="s">
        <v>24</v>
      </c>
      <c r="K266" s="1" t="s">
        <v>190</v>
      </c>
      <c r="L266" s="1" t="s">
        <v>141</v>
      </c>
      <c r="M266" s="1" t="s">
        <v>80</v>
      </c>
      <c r="N266" s="1" t="s">
        <v>56</v>
      </c>
      <c r="O266" s="1" t="s">
        <v>57</v>
      </c>
      <c r="P266" s="1" t="s">
        <v>518</v>
      </c>
      <c r="Q266" s="4">
        <v>328.22399999999999</v>
      </c>
      <c r="R266" s="1">
        <v>4</v>
      </c>
      <c r="S266" s="5">
        <v>0.2</v>
      </c>
      <c r="T266" s="4">
        <v>28.7196</v>
      </c>
      <c r="U266" s="6" t="str">
        <f t="shared" si="13"/>
        <v>Profit</v>
      </c>
      <c r="V266" s="6" t="str">
        <f t="shared" si="14"/>
        <v>Low Sales</v>
      </c>
    </row>
    <row r="267" spans="1:22" x14ac:dyDescent="0.3">
      <c r="A267" s="1">
        <v>266</v>
      </c>
      <c r="B267" s="2">
        <v>41223</v>
      </c>
      <c r="C267" s="1">
        <v>2012</v>
      </c>
      <c r="D267" s="3" t="s">
        <v>20</v>
      </c>
      <c r="E267" s="2">
        <v>41228</v>
      </c>
      <c r="F267" s="1">
        <f t="shared" si="12"/>
        <v>5</v>
      </c>
      <c r="G267" s="1" t="s">
        <v>43</v>
      </c>
      <c r="H267" s="1" t="s">
        <v>519</v>
      </c>
      <c r="I267" s="1" t="s">
        <v>23</v>
      </c>
      <c r="J267" s="1" t="s">
        <v>24</v>
      </c>
      <c r="K267" s="1" t="s">
        <v>520</v>
      </c>
      <c r="L267" s="1" t="s">
        <v>37</v>
      </c>
      <c r="M267" s="1" t="s">
        <v>38</v>
      </c>
      <c r="N267" s="1" t="s">
        <v>56</v>
      </c>
      <c r="O267" s="1" t="s">
        <v>115</v>
      </c>
      <c r="P267" s="1" t="s">
        <v>521</v>
      </c>
      <c r="Q267" s="4">
        <v>79.900000000000006</v>
      </c>
      <c r="R267" s="1">
        <v>2</v>
      </c>
      <c r="S267" s="5">
        <v>0</v>
      </c>
      <c r="T267" s="4">
        <v>35.155999999999999</v>
      </c>
      <c r="U267" s="6" t="str">
        <f t="shared" si="13"/>
        <v>Profit</v>
      </c>
      <c r="V267" s="6" t="str">
        <f t="shared" si="14"/>
        <v>Low Sales</v>
      </c>
    </row>
    <row r="268" spans="1:22" x14ac:dyDescent="0.3">
      <c r="A268" s="1">
        <v>267</v>
      </c>
      <c r="B268" s="2">
        <v>41807</v>
      </c>
      <c r="C268" s="1">
        <v>2014</v>
      </c>
      <c r="D268" s="3" t="s">
        <v>33</v>
      </c>
      <c r="E268" s="2">
        <v>41811</v>
      </c>
      <c r="F268" s="1">
        <f t="shared" si="12"/>
        <v>4</v>
      </c>
      <c r="G268" s="1" t="s">
        <v>43</v>
      </c>
      <c r="H268" s="1" t="s">
        <v>522</v>
      </c>
      <c r="I268" s="1" t="s">
        <v>35</v>
      </c>
      <c r="J268" s="1" t="s">
        <v>24</v>
      </c>
      <c r="K268" s="1" t="s">
        <v>523</v>
      </c>
      <c r="L268" s="1" t="s">
        <v>68</v>
      </c>
      <c r="M268" s="1" t="s">
        <v>27</v>
      </c>
      <c r="N268" s="1" t="s">
        <v>39</v>
      </c>
      <c r="O268" s="1" t="s">
        <v>54</v>
      </c>
      <c r="P268" s="1" t="s">
        <v>524</v>
      </c>
      <c r="Q268" s="4">
        <v>14.016</v>
      </c>
      <c r="R268" s="1">
        <v>3</v>
      </c>
      <c r="S268" s="5">
        <v>0.2</v>
      </c>
      <c r="T268" s="4">
        <v>4.7304000000000004</v>
      </c>
      <c r="U268" s="6" t="str">
        <f t="shared" si="13"/>
        <v>Profit</v>
      </c>
      <c r="V268" s="6" t="str">
        <f t="shared" si="14"/>
        <v>Low Sales</v>
      </c>
    </row>
    <row r="269" spans="1:22" x14ac:dyDescent="0.3">
      <c r="A269" s="1">
        <v>268</v>
      </c>
      <c r="B269" s="2">
        <v>41296</v>
      </c>
      <c r="C269" s="1">
        <v>2013</v>
      </c>
      <c r="D269" s="3" t="s">
        <v>112</v>
      </c>
      <c r="E269" s="2">
        <v>41302</v>
      </c>
      <c r="F269" s="1">
        <f t="shared" si="12"/>
        <v>6</v>
      </c>
      <c r="G269" s="1" t="s">
        <v>43</v>
      </c>
      <c r="H269" s="1" t="s">
        <v>232</v>
      </c>
      <c r="I269" s="1" t="s">
        <v>23</v>
      </c>
      <c r="J269" s="1" t="s">
        <v>24</v>
      </c>
      <c r="K269" s="1" t="s">
        <v>525</v>
      </c>
      <c r="L269" s="1" t="s">
        <v>426</v>
      </c>
      <c r="M269" s="1" t="s">
        <v>107</v>
      </c>
      <c r="N269" s="1" t="s">
        <v>39</v>
      </c>
      <c r="O269" s="1" t="s">
        <v>173</v>
      </c>
      <c r="P269" s="1" t="s">
        <v>526</v>
      </c>
      <c r="Q269" s="4">
        <v>7.56</v>
      </c>
      <c r="R269" s="1">
        <v>6</v>
      </c>
      <c r="S269" s="5">
        <v>0</v>
      </c>
      <c r="T269" s="4">
        <v>0.3024</v>
      </c>
      <c r="U269" s="6" t="str">
        <f t="shared" si="13"/>
        <v>Profit</v>
      </c>
      <c r="V269" s="6" t="str">
        <f t="shared" si="14"/>
        <v>Low Sales</v>
      </c>
    </row>
    <row r="270" spans="1:22" x14ac:dyDescent="0.3">
      <c r="A270" s="1">
        <v>269</v>
      </c>
      <c r="B270" s="2">
        <v>41983</v>
      </c>
      <c r="C270" s="1">
        <v>2014</v>
      </c>
      <c r="D270" s="3" t="s">
        <v>71</v>
      </c>
      <c r="E270" s="2">
        <v>41987</v>
      </c>
      <c r="F270" s="1">
        <f t="shared" si="12"/>
        <v>4</v>
      </c>
      <c r="G270" s="1" t="s">
        <v>43</v>
      </c>
      <c r="H270" s="1" t="s">
        <v>527</v>
      </c>
      <c r="I270" s="1" t="s">
        <v>35</v>
      </c>
      <c r="J270" s="1" t="s">
        <v>24</v>
      </c>
      <c r="K270" s="1" t="s">
        <v>528</v>
      </c>
      <c r="L270" s="1" t="s">
        <v>286</v>
      </c>
      <c r="M270" s="1" t="s">
        <v>107</v>
      </c>
      <c r="N270" s="1" t="s">
        <v>39</v>
      </c>
      <c r="O270" s="1" t="s">
        <v>49</v>
      </c>
      <c r="P270" s="1" t="s">
        <v>529</v>
      </c>
      <c r="Q270" s="4">
        <v>37.207999999999998</v>
      </c>
      <c r="R270" s="1">
        <v>1</v>
      </c>
      <c r="S270" s="5">
        <v>0.2</v>
      </c>
      <c r="T270" s="4">
        <v>-7.4416000000000002</v>
      </c>
      <c r="U270" s="6" t="str">
        <f t="shared" si="13"/>
        <v>Loss</v>
      </c>
      <c r="V270" s="6" t="str">
        <f t="shared" si="14"/>
        <v>Low Sales</v>
      </c>
    </row>
    <row r="271" spans="1:22" x14ac:dyDescent="0.3">
      <c r="A271" s="1">
        <v>270</v>
      </c>
      <c r="B271" s="2">
        <v>41983</v>
      </c>
      <c r="C271" s="1">
        <v>2014</v>
      </c>
      <c r="D271" s="3" t="s">
        <v>71</v>
      </c>
      <c r="E271" s="2">
        <v>41987</v>
      </c>
      <c r="F271" s="1">
        <f t="shared" si="12"/>
        <v>4</v>
      </c>
      <c r="G271" s="1" t="s">
        <v>43</v>
      </c>
      <c r="H271" s="1" t="s">
        <v>527</v>
      </c>
      <c r="I271" s="1" t="s">
        <v>35</v>
      </c>
      <c r="J271" s="1" t="s">
        <v>24</v>
      </c>
      <c r="K271" s="1" t="s">
        <v>528</v>
      </c>
      <c r="L271" s="1" t="s">
        <v>286</v>
      </c>
      <c r="M271" s="1" t="s">
        <v>107</v>
      </c>
      <c r="N271" s="1" t="s">
        <v>39</v>
      </c>
      <c r="O271" s="1" t="s">
        <v>121</v>
      </c>
      <c r="P271" s="1" t="s">
        <v>530</v>
      </c>
      <c r="Q271" s="4">
        <v>57.576000000000001</v>
      </c>
      <c r="R271" s="1">
        <v>3</v>
      </c>
      <c r="S271" s="5">
        <v>0.2</v>
      </c>
      <c r="T271" s="4">
        <v>21.591000000000001</v>
      </c>
      <c r="U271" s="6" t="str">
        <f t="shared" si="13"/>
        <v>Profit</v>
      </c>
      <c r="V271" s="6" t="str">
        <f t="shared" si="14"/>
        <v>Low Sales</v>
      </c>
    </row>
    <row r="272" spans="1:22" x14ac:dyDescent="0.3">
      <c r="A272" s="1">
        <v>271</v>
      </c>
      <c r="B272" s="2">
        <v>42002</v>
      </c>
      <c r="C272" s="1">
        <v>2014</v>
      </c>
      <c r="D272" s="3" t="s">
        <v>71</v>
      </c>
      <c r="E272" s="2">
        <v>42007</v>
      </c>
      <c r="F272" s="1">
        <f t="shared" si="12"/>
        <v>5</v>
      </c>
      <c r="G272" s="1" t="s">
        <v>21</v>
      </c>
      <c r="H272" s="1" t="s">
        <v>531</v>
      </c>
      <c r="I272" s="1" t="s">
        <v>35</v>
      </c>
      <c r="J272" s="1" t="s">
        <v>24</v>
      </c>
      <c r="K272" s="1" t="s">
        <v>94</v>
      </c>
      <c r="L272" s="1" t="s">
        <v>37</v>
      </c>
      <c r="M272" s="1" t="s">
        <v>38</v>
      </c>
      <c r="N272" s="1" t="s">
        <v>39</v>
      </c>
      <c r="O272" s="1" t="s">
        <v>49</v>
      </c>
      <c r="P272" s="1" t="s">
        <v>532</v>
      </c>
      <c r="Q272" s="4">
        <v>725.84</v>
      </c>
      <c r="R272" s="1">
        <v>4</v>
      </c>
      <c r="S272" s="5">
        <v>0</v>
      </c>
      <c r="T272" s="4">
        <v>210.49359999999999</v>
      </c>
      <c r="U272" s="6" t="str">
        <f t="shared" si="13"/>
        <v>Profit</v>
      </c>
      <c r="V272" s="6" t="str">
        <f t="shared" si="14"/>
        <v>Medium Sales</v>
      </c>
    </row>
    <row r="273" spans="1:22" x14ac:dyDescent="0.3">
      <c r="A273" s="1">
        <v>272</v>
      </c>
      <c r="B273" s="2">
        <v>41120</v>
      </c>
      <c r="C273" s="1">
        <v>2012</v>
      </c>
      <c r="D273" s="3" t="s">
        <v>103</v>
      </c>
      <c r="E273" s="2">
        <v>41121</v>
      </c>
      <c r="F273" s="1">
        <f t="shared" si="12"/>
        <v>1</v>
      </c>
      <c r="G273" s="1" t="s">
        <v>129</v>
      </c>
      <c r="H273" s="1" t="s">
        <v>336</v>
      </c>
      <c r="I273" s="1" t="s">
        <v>23</v>
      </c>
      <c r="J273" s="1" t="s">
        <v>24</v>
      </c>
      <c r="K273" s="1" t="s">
        <v>94</v>
      </c>
      <c r="L273" s="1" t="s">
        <v>37</v>
      </c>
      <c r="M273" s="1" t="s">
        <v>38</v>
      </c>
      <c r="N273" s="1" t="s">
        <v>56</v>
      </c>
      <c r="O273" s="1" t="s">
        <v>115</v>
      </c>
      <c r="P273" s="1" t="s">
        <v>533</v>
      </c>
      <c r="Q273" s="4">
        <v>209.93</v>
      </c>
      <c r="R273" s="1">
        <v>7</v>
      </c>
      <c r="S273" s="5">
        <v>0</v>
      </c>
      <c r="T273" s="4">
        <v>92.369200000000006</v>
      </c>
      <c r="U273" s="6" t="str">
        <f t="shared" si="13"/>
        <v>Profit</v>
      </c>
      <c r="V273" s="6" t="str">
        <f t="shared" si="14"/>
        <v>Low Sales</v>
      </c>
    </row>
    <row r="274" spans="1:22" x14ac:dyDescent="0.3">
      <c r="A274" s="1">
        <v>273</v>
      </c>
      <c r="B274" s="2">
        <v>41120</v>
      </c>
      <c r="C274" s="1">
        <v>2012</v>
      </c>
      <c r="D274" s="3" t="s">
        <v>103</v>
      </c>
      <c r="E274" s="2">
        <v>41121</v>
      </c>
      <c r="F274" s="1">
        <f t="shared" si="12"/>
        <v>1</v>
      </c>
      <c r="G274" s="1" t="s">
        <v>129</v>
      </c>
      <c r="H274" s="1" t="s">
        <v>336</v>
      </c>
      <c r="I274" s="1" t="s">
        <v>23</v>
      </c>
      <c r="J274" s="1" t="s">
        <v>24</v>
      </c>
      <c r="K274" s="1" t="s">
        <v>94</v>
      </c>
      <c r="L274" s="1" t="s">
        <v>37</v>
      </c>
      <c r="M274" s="1" t="s">
        <v>38</v>
      </c>
      <c r="N274" s="1" t="s">
        <v>28</v>
      </c>
      <c r="O274" s="1" t="s">
        <v>52</v>
      </c>
      <c r="P274" s="1" t="s">
        <v>534</v>
      </c>
      <c r="Q274" s="4">
        <v>5.28</v>
      </c>
      <c r="R274" s="1">
        <v>3</v>
      </c>
      <c r="S274" s="5">
        <v>0</v>
      </c>
      <c r="T274" s="4">
        <v>2.3231999999999999</v>
      </c>
      <c r="U274" s="6" t="str">
        <f t="shared" si="13"/>
        <v>Profit</v>
      </c>
      <c r="V274" s="6" t="str">
        <f t="shared" si="14"/>
        <v>Low Sales</v>
      </c>
    </row>
    <row r="275" spans="1:22" x14ac:dyDescent="0.3">
      <c r="A275" s="1">
        <v>274</v>
      </c>
      <c r="B275" s="2">
        <v>41120</v>
      </c>
      <c r="C275" s="1">
        <v>2012</v>
      </c>
      <c r="D275" s="3" t="s">
        <v>103</v>
      </c>
      <c r="E275" s="2">
        <v>41121</v>
      </c>
      <c r="F275" s="1">
        <f t="shared" si="12"/>
        <v>1</v>
      </c>
      <c r="G275" s="1" t="s">
        <v>129</v>
      </c>
      <c r="H275" s="1" t="s">
        <v>336</v>
      </c>
      <c r="I275" s="1" t="s">
        <v>23</v>
      </c>
      <c r="J275" s="1" t="s">
        <v>24</v>
      </c>
      <c r="K275" s="1" t="s">
        <v>94</v>
      </c>
      <c r="L275" s="1" t="s">
        <v>37</v>
      </c>
      <c r="M275" s="1" t="s">
        <v>38</v>
      </c>
      <c r="N275" s="1" t="s">
        <v>39</v>
      </c>
      <c r="O275" s="1" t="s">
        <v>59</v>
      </c>
      <c r="P275" s="1" t="s">
        <v>535</v>
      </c>
      <c r="Q275" s="4">
        <v>10.92</v>
      </c>
      <c r="R275" s="1">
        <v>3</v>
      </c>
      <c r="S275" s="5">
        <v>0.2</v>
      </c>
      <c r="T275" s="4">
        <v>4.0949999999999998</v>
      </c>
      <c r="U275" s="6" t="str">
        <f t="shared" si="13"/>
        <v>Profit</v>
      </c>
      <c r="V275" s="6" t="str">
        <f t="shared" si="14"/>
        <v>Low Sales</v>
      </c>
    </row>
    <row r="276" spans="1:22" x14ac:dyDescent="0.3">
      <c r="A276" s="1">
        <v>275</v>
      </c>
      <c r="B276" s="2">
        <v>41899</v>
      </c>
      <c r="C276" s="1">
        <v>2014</v>
      </c>
      <c r="D276" s="3" t="s">
        <v>109</v>
      </c>
      <c r="E276" s="2">
        <v>41900</v>
      </c>
      <c r="F276" s="1">
        <f t="shared" si="12"/>
        <v>1</v>
      </c>
      <c r="G276" s="1" t="s">
        <v>129</v>
      </c>
      <c r="H276" s="1" t="s">
        <v>536</v>
      </c>
      <c r="I276" s="1" t="s">
        <v>35</v>
      </c>
      <c r="J276" s="1" t="s">
        <v>24</v>
      </c>
      <c r="K276" s="1" t="s">
        <v>537</v>
      </c>
      <c r="L276" s="1" t="s">
        <v>37</v>
      </c>
      <c r="M276" s="1" t="s">
        <v>38</v>
      </c>
      <c r="N276" s="1" t="s">
        <v>39</v>
      </c>
      <c r="O276" s="1" t="s">
        <v>69</v>
      </c>
      <c r="P276" s="1" t="s">
        <v>538</v>
      </c>
      <c r="Q276" s="4">
        <v>8.82</v>
      </c>
      <c r="R276" s="1">
        <v>2</v>
      </c>
      <c r="S276" s="5">
        <v>0</v>
      </c>
      <c r="T276" s="4">
        <v>4.0571999999999999</v>
      </c>
      <c r="U276" s="6" t="str">
        <f t="shared" si="13"/>
        <v>Profit</v>
      </c>
      <c r="V276" s="6" t="str">
        <f t="shared" si="14"/>
        <v>Low Sales</v>
      </c>
    </row>
    <row r="277" spans="1:22" x14ac:dyDescent="0.3">
      <c r="A277" s="1">
        <v>276</v>
      </c>
      <c r="B277" s="2">
        <v>41899</v>
      </c>
      <c r="C277" s="1">
        <v>2014</v>
      </c>
      <c r="D277" s="3" t="s">
        <v>109</v>
      </c>
      <c r="E277" s="2">
        <v>41900</v>
      </c>
      <c r="F277" s="1">
        <f t="shared" si="12"/>
        <v>1</v>
      </c>
      <c r="G277" s="1" t="s">
        <v>129</v>
      </c>
      <c r="H277" s="1" t="s">
        <v>536</v>
      </c>
      <c r="I277" s="1" t="s">
        <v>35</v>
      </c>
      <c r="J277" s="1" t="s">
        <v>24</v>
      </c>
      <c r="K277" s="1" t="s">
        <v>537</v>
      </c>
      <c r="L277" s="1" t="s">
        <v>37</v>
      </c>
      <c r="M277" s="1" t="s">
        <v>38</v>
      </c>
      <c r="N277" s="1" t="s">
        <v>39</v>
      </c>
      <c r="O277" s="1" t="s">
        <v>54</v>
      </c>
      <c r="P277" s="1" t="s">
        <v>539</v>
      </c>
      <c r="Q277" s="4">
        <v>5.98</v>
      </c>
      <c r="R277" s="1">
        <v>1</v>
      </c>
      <c r="S277" s="5">
        <v>0</v>
      </c>
      <c r="T277" s="4">
        <v>1.5548</v>
      </c>
      <c r="U277" s="6" t="str">
        <f t="shared" si="13"/>
        <v>Profit</v>
      </c>
      <c r="V277" s="6" t="str">
        <f t="shared" si="14"/>
        <v>Low Sales</v>
      </c>
    </row>
    <row r="278" spans="1:22" x14ac:dyDescent="0.3">
      <c r="A278" s="1">
        <v>277</v>
      </c>
      <c r="B278" s="2">
        <v>41926</v>
      </c>
      <c r="C278" s="1">
        <v>2014</v>
      </c>
      <c r="D278" s="3" t="s">
        <v>42</v>
      </c>
      <c r="E278" s="2">
        <v>41930</v>
      </c>
      <c r="F278" s="1">
        <f t="shared" si="12"/>
        <v>4</v>
      </c>
      <c r="G278" s="1" t="s">
        <v>43</v>
      </c>
      <c r="H278" s="1" t="s">
        <v>540</v>
      </c>
      <c r="I278" s="1" t="s">
        <v>35</v>
      </c>
      <c r="J278" s="1" t="s">
        <v>24</v>
      </c>
      <c r="K278" s="1" t="s">
        <v>105</v>
      </c>
      <c r="L278" s="1" t="s">
        <v>106</v>
      </c>
      <c r="M278" s="1" t="s">
        <v>107</v>
      </c>
      <c r="N278" s="1" t="s">
        <v>39</v>
      </c>
      <c r="O278" s="1" t="s">
        <v>69</v>
      </c>
      <c r="P278" s="1" t="s">
        <v>541</v>
      </c>
      <c r="Q278" s="4">
        <v>11.648</v>
      </c>
      <c r="R278" s="1">
        <v>2</v>
      </c>
      <c r="S278" s="5">
        <v>0.2</v>
      </c>
      <c r="T278" s="4">
        <v>4.0768000000000004</v>
      </c>
      <c r="U278" s="6" t="str">
        <f t="shared" si="13"/>
        <v>Profit</v>
      </c>
      <c r="V278" s="6" t="str">
        <f t="shared" si="14"/>
        <v>Low Sales</v>
      </c>
    </row>
    <row r="279" spans="1:22" x14ac:dyDescent="0.3">
      <c r="A279" s="1">
        <v>278</v>
      </c>
      <c r="B279" s="2">
        <v>41926</v>
      </c>
      <c r="C279" s="1">
        <v>2014</v>
      </c>
      <c r="D279" s="3" t="s">
        <v>42</v>
      </c>
      <c r="E279" s="2">
        <v>41930</v>
      </c>
      <c r="F279" s="1">
        <f t="shared" si="12"/>
        <v>4</v>
      </c>
      <c r="G279" s="1" t="s">
        <v>43</v>
      </c>
      <c r="H279" s="1" t="s">
        <v>540</v>
      </c>
      <c r="I279" s="1" t="s">
        <v>35</v>
      </c>
      <c r="J279" s="1" t="s">
        <v>24</v>
      </c>
      <c r="K279" s="1" t="s">
        <v>105</v>
      </c>
      <c r="L279" s="1" t="s">
        <v>106</v>
      </c>
      <c r="M279" s="1" t="s">
        <v>107</v>
      </c>
      <c r="N279" s="1" t="s">
        <v>39</v>
      </c>
      <c r="O279" s="1" t="s">
        <v>69</v>
      </c>
      <c r="P279" s="1" t="s">
        <v>542</v>
      </c>
      <c r="Q279" s="4">
        <v>18.175999999999998</v>
      </c>
      <c r="R279" s="1">
        <v>4</v>
      </c>
      <c r="S279" s="5">
        <v>0.2</v>
      </c>
      <c r="T279" s="4">
        <v>5.9071999999999996</v>
      </c>
      <c r="U279" s="6" t="str">
        <f t="shared" si="13"/>
        <v>Profit</v>
      </c>
      <c r="V279" s="6" t="str">
        <f t="shared" si="14"/>
        <v>Low Sales</v>
      </c>
    </row>
    <row r="280" spans="1:22" x14ac:dyDescent="0.3">
      <c r="A280" s="1">
        <v>279</v>
      </c>
      <c r="B280" s="2">
        <v>41926</v>
      </c>
      <c r="C280" s="1">
        <v>2014</v>
      </c>
      <c r="D280" s="3" t="s">
        <v>42</v>
      </c>
      <c r="E280" s="2">
        <v>41930</v>
      </c>
      <c r="F280" s="1">
        <f t="shared" si="12"/>
        <v>4</v>
      </c>
      <c r="G280" s="1" t="s">
        <v>43</v>
      </c>
      <c r="H280" s="1" t="s">
        <v>540</v>
      </c>
      <c r="I280" s="1" t="s">
        <v>35</v>
      </c>
      <c r="J280" s="1" t="s">
        <v>24</v>
      </c>
      <c r="K280" s="1" t="s">
        <v>105</v>
      </c>
      <c r="L280" s="1" t="s">
        <v>106</v>
      </c>
      <c r="M280" s="1" t="s">
        <v>107</v>
      </c>
      <c r="N280" s="1" t="s">
        <v>39</v>
      </c>
      <c r="O280" s="1" t="s">
        <v>49</v>
      </c>
      <c r="P280" s="1" t="s">
        <v>543</v>
      </c>
      <c r="Q280" s="4">
        <v>59.712000000000003</v>
      </c>
      <c r="R280" s="1">
        <v>6</v>
      </c>
      <c r="S280" s="5">
        <v>0.2</v>
      </c>
      <c r="T280" s="4">
        <v>5.9711999999999996</v>
      </c>
      <c r="U280" s="6" t="str">
        <f t="shared" si="13"/>
        <v>Profit</v>
      </c>
      <c r="V280" s="6" t="str">
        <f t="shared" si="14"/>
        <v>Low Sales</v>
      </c>
    </row>
    <row r="281" spans="1:22" x14ac:dyDescent="0.3">
      <c r="A281" s="1">
        <v>280</v>
      </c>
      <c r="B281" s="2">
        <v>41926</v>
      </c>
      <c r="C281" s="1">
        <v>2014</v>
      </c>
      <c r="D281" s="3" t="s">
        <v>42</v>
      </c>
      <c r="E281" s="2">
        <v>41930</v>
      </c>
      <c r="F281" s="1">
        <f t="shared" si="12"/>
        <v>4</v>
      </c>
      <c r="G281" s="1" t="s">
        <v>43</v>
      </c>
      <c r="H281" s="1" t="s">
        <v>540</v>
      </c>
      <c r="I281" s="1" t="s">
        <v>35</v>
      </c>
      <c r="J281" s="1" t="s">
        <v>24</v>
      </c>
      <c r="K281" s="1" t="s">
        <v>105</v>
      </c>
      <c r="L281" s="1" t="s">
        <v>106</v>
      </c>
      <c r="M281" s="1" t="s">
        <v>107</v>
      </c>
      <c r="N281" s="1" t="s">
        <v>39</v>
      </c>
      <c r="O281" s="1" t="s">
        <v>40</v>
      </c>
      <c r="P281" s="1" t="s">
        <v>544</v>
      </c>
      <c r="Q281" s="4">
        <v>24.84</v>
      </c>
      <c r="R281" s="1">
        <v>3</v>
      </c>
      <c r="S281" s="5">
        <v>0.2</v>
      </c>
      <c r="T281" s="4">
        <v>8.6940000000000008</v>
      </c>
      <c r="U281" s="6" t="str">
        <f t="shared" si="13"/>
        <v>Profit</v>
      </c>
      <c r="V281" s="6" t="str">
        <f t="shared" si="14"/>
        <v>Low Sales</v>
      </c>
    </row>
    <row r="282" spans="1:22" x14ac:dyDescent="0.3">
      <c r="A282" s="1">
        <v>281</v>
      </c>
      <c r="B282" s="2">
        <v>41178</v>
      </c>
      <c r="C282" s="1">
        <v>2012</v>
      </c>
      <c r="D282" s="3" t="s">
        <v>109</v>
      </c>
      <c r="E282" s="2">
        <v>41180</v>
      </c>
      <c r="F282" s="1">
        <f t="shared" si="12"/>
        <v>2</v>
      </c>
      <c r="G282" s="1" t="s">
        <v>21</v>
      </c>
      <c r="H282" s="1" t="s">
        <v>296</v>
      </c>
      <c r="I282" s="1" t="s">
        <v>23</v>
      </c>
      <c r="J282" s="1" t="s">
        <v>24</v>
      </c>
      <c r="K282" s="1" t="s">
        <v>127</v>
      </c>
      <c r="L282" s="1" t="s">
        <v>79</v>
      </c>
      <c r="M282" s="1" t="s">
        <v>80</v>
      </c>
      <c r="N282" s="1" t="s">
        <v>39</v>
      </c>
      <c r="O282" s="1" t="s">
        <v>59</v>
      </c>
      <c r="P282" s="1" t="s">
        <v>545</v>
      </c>
      <c r="Q282" s="4">
        <v>2.08</v>
      </c>
      <c r="R282" s="1">
        <v>5</v>
      </c>
      <c r="S282" s="5">
        <v>0.8</v>
      </c>
      <c r="T282" s="4">
        <v>-3.4319999999999999</v>
      </c>
      <c r="U282" s="6" t="str">
        <f t="shared" si="13"/>
        <v>Loss</v>
      </c>
      <c r="V282" s="6" t="str">
        <f t="shared" si="14"/>
        <v>Low Sales</v>
      </c>
    </row>
    <row r="283" spans="1:22" x14ac:dyDescent="0.3">
      <c r="A283" s="1">
        <v>282</v>
      </c>
      <c r="B283" s="2">
        <v>41178</v>
      </c>
      <c r="C283" s="1">
        <v>2012</v>
      </c>
      <c r="D283" s="3" t="s">
        <v>109</v>
      </c>
      <c r="E283" s="2">
        <v>41180</v>
      </c>
      <c r="F283" s="1">
        <f t="shared" si="12"/>
        <v>2</v>
      </c>
      <c r="G283" s="1" t="s">
        <v>21</v>
      </c>
      <c r="H283" s="1" t="s">
        <v>296</v>
      </c>
      <c r="I283" s="1" t="s">
        <v>23</v>
      </c>
      <c r="J283" s="1" t="s">
        <v>24</v>
      </c>
      <c r="K283" s="1" t="s">
        <v>127</v>
      </c>
      <c r="L283" s="1" t="s">
        <v>79</v>
      </c>
      <c r="M283" s="1" t="s">
        <v>80</v>
      </c>
      <c r="N283" s="1" t="s">
        <v>56</v>
      </c>
      <c r="O283" s="1" t="s">
        <v>57</v>
      </c>
      <c r="P283" s="1" t="s">
        <v>546</v>
      </c>
      <c r="Q283" s="4">
        <v>1114.4000000000001</v>
      </c>
      <c r="R283" s="1">
        <v>7</v>
      </c>
      <c r="S283" s="5">
        <v>0.2</v>
      </c>
      <c r="T283" s="4">
        <v>376.11</v>
      </c>
      <c r="U283" s="6" t="str">
        <f t="shared" si="13"/>
        <v>Profit</v>
      </c>
      <c r="V283" s="6" t="str">
        <f t="shared" si="14"/>
        <v>High Sales</v>
      </c>
    </row>
    <row r="284" spans="1:22" x14ac:dyDescent="0.3">
      <c r="A284" s="1">
        <v>283</v>
      </c>
      <c r="B284" s="2">
        <v>41215</v>
      </c>
      <c r="C284" s="1">
        <v>2012</v>
      </c>
      <c r="D284" s="3" t="s">
        <v>20</v>
      </c>
      <c r="E284" s="2">
        <v>41219</v>
      </c>
      <c r="F284" s="1">
        <f t="shared" si="12"/>
        <v>4</v>
      </c>
      <c r="G284" s="1" t="s">
        <v>43</v>
      </c>
      <c r="H284" s="1" t="s">
        <v>547</v>
      </c>
      <c r="I284" s="1" t="s">
        <v>23</v>
      </c>
      <c r="J284" s="1" t="s">
        <v>24</v>
      </c>
      <c r="K284" s="1" t="s">
        <v>36</v>
      </c>
      <c r="L284" s="1" t="s">
        <v>37</v>
      </c>
      <c r="M284" s="1" t="s">
        <v>38</v>
      </c>
      <c r="N284" s="1" t="s">
        <v>28</v>
      </c>
      <c r="O284" s="1" t="s">
        <v>47</v>
      </c>
      <c r="P284" s="1" t="s">
        <v>548</v>
      </c>
      <c r="Q284" s="4">
        <v>1038.8399999999999</v>
      </c>
      <c r="R284" s="1">
        <v>5</v>
      </c>
      <c r="S284" s="5">
        <v>0.2</v>
      </c>
      <c r="T284" s="4">
        <v>51.942</v>
      </c>
      <c r="U284" s="6" t="str">
        <f t="shared" si="13"/>
        <v>Profit</v>
      </c>
      <c r="V284" s="6" t="str">
        <f t="shared" si="14"/>
        <v>High Sales</v>
      </c>
    </row>
    <row r="285" spans="1:22" x14ac:dyDescent="0.3">
      <c r="A285" s="1">
        <v>284</v>
      </c>
      <c r="B285" s="2">
        <v>41178</v>
      </c>
      <c r="C285" s="1">
        <v>2012</v>
      </c>
      <c r="D285" s="3" t="s">
        <v>109</v>
      </c>
      <c r="E285" s="2">
        <v>41184</v>
      </c>
      <c r="F285" s="1">
        <f t="shared" si="12"/>
        <v>6</v>
      </c>
      <c r="G285" s="1" t="s">
        <v>43</v>
      </c>
      <c r="H285" s="1" t="s">
        <v>117</v>
      </c>
      <c r="I285" s="1" t="s">
        <v>23</v>
      </c>
      <c r="J285" s="1" t="s">
        <v>24</v>
      </c>
      <c r="K285" s="1" t="s">
        <v>247</v>
      </c>
      <c r="L285" s="1" t="s">
        <v>248</v>
      </c>
      <c r="M285" s="1" t="s">
        <v>38</v>
      </c>
      <c r="N285" s="1" t="s">
        <v>39</v>
      </c>
      <c r="O285" s="1" t="s">
        <v>69</v>
      </c>
      <c r="P285" s="1" t="s">
        <v>128</v>
      </c>
      <c r="Q285" s="4">
        <v>141.76</v>
      </c>
      <c r="R285" s="1">
        <v>5</v>
      </c>
      <c r="S285" s="5">
        <v>0.2</v>
      </c>
      <c r="T285" s="4">
        <v>47.844000000000001</v>
      </c>
      <c r="U285" s="6" t="str">
        <f t="shared" si="13"/>
        <v>Profit</v>
      </c>
      <c r="V285" s="6" t="str">
        <f t="shared" si="14"/>
        <v>Low Sales</v>
      </c>
    </row>
    <row r="286" spans="1:22" x14ac:dyDescent="0.3">
      <c r="A286" s="1">
        <v>285</v>
      </c>
      <c r="B286" s="2">
        <v>41178</v>
      </c>
      <c r="C286" s="1">
        <v>2012</v>
      </c>
      <c r="D286" s="3" t="s">
        <v>109</v>
      </c>
      <c r="E286" s="2">
        <v>41184</v>
      </c>
      <c r="F286" s="1">
        <f t="shared" si="12"/>
        <v>6</v>
      </c>
      <c r="G286" s="1" t="s">
        <v>43</v>
      </c>
      <c r="H286" s="1" t="s">
        <v>117</v>
      </c>
      <c r="I286" s="1" t="s">
        <v>23</v>
      </c>
      <c r="J286" s="1" t="s">
        <v>24</v>
      </c>
      <c r="K286" s="1" t="s">
        <v>247</v>
      </c>
      <c r="L286" s="1" t="s">
        <v>248</v>
      </c>
      <c r="M286" s="1" t="s">
        <v>38</v>
      </c>
      <c r="N286" s="1" t="s">
        <v>56</v>
      </c>
      <c r="O286" s="1" t="s">
        <v>115</v>
      </c>
      <c r="P286" s="1" t="s">
        <v>549</v>
      </c>
      <c r="Q286" s="4">
        <v>239.8</v>
      </c>
      <c r="R286" s="1">
        <v>5</v>
      </c>
      <c r="S286" s="5">
        <v>0.2</v>
      </c>
      <c r="T286" s="4">
        <v>47.96</v>
      </c>
      <c r="U286" s="6" t="str">
        <f t="shared" si="13"/>
        <v>Profit</v>
      </c>
      <c r="V286" s="6" t="str">
        <f t="shared" si="14"/>
        <v>Low Sales</v>
      </c>
    </row>
    <row r="287" spans="1:22" x14ac:dyDescent="0.3">
      <c r="A287" s="1">
        <v>286</v>
      </c>
      <c r="B287" s="2">
        <v>41178</v>
      </c>
      <c r="C287" s="1">
        <v>2012</v>
      </c>
      <c r="D287" s="3" t="s">
        <v>109</v>
      </c>
      <c r="E287" s="2">
        <v>41184</v>
      </c>
      <c r="F287" s="1">
        <f t="shared" si="12"/>
        <v>6</v>
      </c>
      <c r="G287" s="1" t="s">
        <v>43</v>
      </c>
      <c r="H287" s="1" t="s">
        <v>117</v>
      </c>
      <c r="I287" s="1" t="s">
        <v>23</v>
      </c>
      <c r="J287" s="1" t="s">
        <v>24</v>
      </c>
      <c r="K287" s="1" t="s">
        <v>247</v>
      </c>
      <c r="L287" s="1" t="s">
        <v>248</v>
      </c>
      <c r="M287" s="1" t="s">
        <v>38</v>
      </c>
      <c r="N287" s="1" t="s">
        <v>39</v>
      </c>
      <c r="O287" s="1" t="s">
        <v>69</v>
      </c>
      <c r="P287" s="1" t="s">
        <v>550</v>
      </c>
      <c r="Q287" s="4">
        <v>31.103999999999999</v>
      </c>
      <c r="R287" s="1">
        <v>6</v>
      </c>
      <c r="S287" s="5">
        <v>0.2</v>
      </c>
      <c r="T287" s="4">
        <v>10.8864</v>
      </c>
      <c r="U287" s="6" t="str">
        <f t="shared" si="13"/>
        <v>Profit</v>
      </c>
      <c r="V287" s="6" t="str">
        <f t="shared" si="14"/>
        <v>Low Sales</v>
      </c>
    </row>
    <row r="288" spans="1:22" x14ac:dyDescent="0.3">
      <c r="A288" s="1">
        <v>287</v>
      </c>
      <c r="B288" s="2">
        <v>41627</v>
      </c>
      <c r="C288" s="1">
        <v>2013</v>
      </c>
      <c r="D288" s="3" t="s">
        <v>71</v>
      </c>
      <c r="E288" s="2">
        <v>41629</v>
      </c>
      <c r="F288" s="1">
        <f t="shared" si="12"/>
        <v>2</v>
      </c>
      <c r="G288" s="1" t="s">
        <v>21</v>
      </c>
      <c r="H288" s="1" t="s">
        <v>551</v>
      </c>
      <c r="I288" s="1" t="s">
        <v>35</v>
      </c>
      <c r="J288" s="1" t="s">
        <v>24</v>
      </c>
      <c r="K288" s="1" t="s">
        <v>552</v>
      </c>
      <c r="L288" s="1" t="s">
        <v>46</v>
      </c>
      <c r="M288" s="1" t="s">
        <v>27</v>
      </c>
      <c r="N288" s="1" t="s">
        <v>39</v>
      </c>
      <c r="O288" s="1" t="s">
        <v>59</v>
      </c>
      <c r="P288" s="1" t="s">
        <v>553</v>
      </c>
      <c r="Q288" s="4">
        <v>254.05799999999999</v>
      </c>
      <c r="R288" s="1">
        <v>7</v>
      </c>
      <c r="S288" s="5">
        <v>0.7</v>
      </c>
      <c r="T288" s="4">
        <v>-169.37200000000001</v>
      </c>
      <c r="U288" s="6" t="str">
        <f t="shared" si="13"/>
        <v>Loss</v>
      </c>
      <c r="V288" s="6" t="str">
        <f t="shared" si="14"/>
        <v>Low Sales</v>
      </c>
    </row>
    <row r="289" spans="1:22" x14ac:dyDescent="0.3">
      <c r="A289" s="1">
        <v>288</v>
      </c>
      <c r="B289" s="2">
        <v>41627</v>
      </c>
      <c r="C289" s="1">
        <v>2013</v>
      </c>
      <c r="D289" s="3" t="s">
        <v>71</v>
      </c>
      <c r="E289" s="2">
        <v>41629</v>
      </c>
      <c r="F289" s="1">
        <f t="shared" si="12"/>
        <v>2</v>
      </c>
      <c r="G289" s="1" t="s">
        <v>21</v>
      </c>
      <c r="H289" s="1" t="s">
        <v>551</v>
      </c>
      <c r="I289" s="1" t="s">
        <v>35</v>
      </c>
      <c r="J289" s="1" t="s">
        <v>24</v>
      </c>
      <c r="K289" s="1" t="s">
        <v>552</v>
      </c>
      <c r="L289" s="1" t="s">
        <v>46</v>
      </c>
      <c r="M289" s="1" t="s">
        <v>27</v>
      </c>
      <c r="N289" s="1" t="s">
        <v>39</v>
      </c>
      <c r="O289" s="1" t="s">
        <v>61</v>
      </c>
      <c r="P289" s="1" t="s">
        <v>390</v>
      </c>
      <c r="Q289" s="4">
        <v>194.52799999999999</v>
      </c>
      <c r="R289" s="1">
        <v>2</v>
      </c>
      <c r="S289" s="5">
        <v>0.2</v>
      </c>
      <c r="T289" s="4">
        <v>24.315999999999999</v>
      </c>
      <c r="U289" s="6" t="str">
        <f t="shared" si="13"/>
        <v>Profit</v>
      </c>
      <c r="V289" s="6" t="str">
        <f t="shared" si="14"/>
        <v>Low Sales</v>
      </c>
    </row>
    <row r="290" spans="1:22" x14ac:dyDescent="0.3">
      <c r="A290" s="1">
        <v>289</v>
      </c>
      <c r="B290" s="2">
        <v>41627</v>
      </c>
      <c r="C290" s="1">
        <v>2013</v>
      </c>
      <c r="D290" s="3" t="s">
        <v>71</v>
      </c>
      <c r="E290" s="2">
        <v>41629</v>
      </c>
      <c r="F290" s="1">
        <f t="shared" si="12"/>
        <v>2</v>
      </c>
      <c r="G290" s="1" t="s">
        <v>21</v>
      </c>
      <c r="H290" s="1" t="s">
        <v>551</v>
      </c>
      <c r="I290" s="1" t="s">
        <v>35</v>
      </c>
      <c r="J290" s="1" t="s">
        <v>24</v>
      </c>
      <c r="K290" s="1" t="s">
        <v>552</v>
      </c>
      <c r="L290" s="1" t="s">
        <v>46</v>
      </c>
      <c r="M290" s="1" t="s">
        <v>27</v>
      </c>
      <c r="N290" s="1" t="s">
        <v>39</v>
      </c>
      <c r="O290" s="1" t="s">
        <v>325</v>
      </c>
      <c r="P290" s="1" t="s">
        <v>554</v>
      </c>
      <c r="Q290" s="4">
        <v>961.48</v>
      </c>
      <c r="R290" s="1">
        <v>5</v>
      </c>
      <c r="S290" s="5">
        <v>0.2</v>
      </c>
      <c r="T290" s="4">
        <v>-204.31450000000001</v>
      </c>
      <c r="U290" s="6" t="str">
        <f t="shared" si="13"/>
        <v>Loss</v>
      </c>
      <c r="V290" s="6" t="str">
        <f t="shared" si="14"/>
        <v>Medium Sales</v>
      </c>
    </row>
    <row r="291" spans="1:22" x14ac:dyDescent="0.3">
      <c r="A291" s="1">
        <v>290</v>
      </c>
      <c r="B291" s="2">
        <v>41599</v>
      </c>
      <c r="C291" s="1">
        <v>2013</v>
      </c>
      <c r="D291" s="3" t="s">
        <v>20</v>
      </c>
      <c r="E291" s="2">
        <v>41603</v>
      </c>
      <c r="F291" s="1">
        <f t="shared" si="12"/>
        <v>4</v>
      </c>
      <c r="G291" s="1" t="s">
        <v>21</v>
      </c>
      <c r="H291" s="1" t="s">
        <v>555</v>
      </c>
      <c r="I291" s="1" t="s">
        <v>77</v>
      </c>
      <c r="J291" s="1" t="s">
        <v>24</v>
      </c>
      <c r="K291" s="1" t="s">
        <v>285</v>
      </c>
      <c r="L291" s="1" t="s">
        <v>286</v>
      </c>
      <c r="M291" s="1" t="s">
        <v>107</v>
      </c>
      <c r="N291" s="1" t="s">
        <v>39</v>
      </c>
      <c r="O291" s="1" t="s">
        <v>173</v>
      </c>
      <c r="P291" s="1" t="s">
        <v>556</v>
      </c>
      <c r="Q291" s="4">
        <v>19.096</v>
      </c>
      <c r="R291" s="1">
        <v>7</v>
      </c>
      <c r="S291" s="5">
        <v>0.2</v>
      </c>
      <c r="T291" s="4">
        <v>6.6836000000000002</v>
      </c>
      <c r="U291" s="6" t="str">
        <f t="shared" si="13"/>
        <v>Profit</v>
      </c>
      <c r="V291" s="6" t="str">
        <f t="shared" si="14"/>
        <v>Low Sales</v>
      </c>
    </row>
    <row r="292" spans="1:22" x14ac:dyDescent="0.3">
      <c r="A292" s="1">
        <v>291</v>
      </c>
      <c r="B292" s="2">
        <v>41599</v>
      </c>
      <c r="C292" s="1">
        <v>2013</v>
      </c>
      <c r="D292" s="3" t="s">
        <v>20</v>
      </c>
      <c r="E292" s="2">
        <v>41603</v>
      </c>
      <c r="F292" s="1">
        <f t="shared" si="12"/>
        <v>4</v>
      </c>
      <c r="G292" s="1" t="s">
        <v>21</v>
      </c>
      <c r="H292" s="1" t="s">
        <v>555</v>
      </c>
      <c r="I292" s="1" t="s">
        <v>77</v>
      </c>
      <c r="J292" s="1" t="s">
        <v>24</v>
      </c>
      <c r="K292" s="1" t="s">
        <v>285</v>
      </c>
      <c r="L292" s="1" t="s">
        <v>286</v>
      </c>
      <c r="M292" s="1" t="s">
        <v>107</v>
      </c>
      <c r="N292" s="1" t="s">
        <v>39</v>
      </c>
      <c r="O292" s="1" t="s">
        <v>40</v>
      </c>
      <c r="P292" s="1" t="s">
        <v>557</v>
      </c>
      <c r="Q292" s="4">
        <v>18.495999999999999</v>
      </c>
      <c r="R292" s="1">
        <v>8</v>
      </c>
      <c r="S292" s="5">
        <v>0.2</v>
      </c>
      <c r="T292" s="4">
        <v>6.2423999999999999</v>
      </c>
      <c r="U292" s="6" t="str">
        <f t="shared" si="13"/>
        <v>Profit</v>
      </c>
      <c r="V292" s="6" t="str">
        <f t="shared" si="14"/>
        <v>Low Sales</v>
      </c>
    </row>
    <row r="293" spans="1:22" x14ac:dyDescent="0.3">
      <c r="A293" s="1">
        <v>292</v>
      </c>
      <c r="B293" s="2">
        <v>41599</v>
      </c>
      <c r="C293" s="1">
        <v>2013</v>
      </c>
      <c r="D293" s="3" t="s">
        <v>20</v>
      </c>
      <c r="E293" s="2">
        <v>41603</v>
      </c>
      <c r="F293" s="1">
        <f t="shared" si="12"/>
        <v>4</v>
      </c>
      <c r="G293" s="1" t="s">
        <v>21</v>
      </c>
      <c r="H293" s="1" t="s">
        <v>555</v>
      </c>
      <c r="I293" s="1" t="s">
        <v>77</v>
      </c>
      <c r="J293" s="1" t="s">
        <v>24</v>
      </c>
      <c r="K293" s="1" t="s">
        <v>285</v>
      </c>
      <c r="L293" s="1" t="s">
        <v>286</v>
      </c>
      <c r="M293" s="1" t="s">
        <v>107</v>
      </c>
      <c r="N293" s="1" t="s">
        <v>56</v>
      </c>
      <c r="O293" s="1" t="s">
        <v>115</v>
      </c>
      <c r="P293" s="1" t="s">
        <v>558</v>
      </c>
      <c r="Q293" s="4">
        <v>255.98400000000001</v>
      </c>
      <c r="R293" s="1">
        <v>2</v>
      </c>
      <c r="S293" s="5">
        <v>0.2</v>
      </c>
      <c r="T293" s="4">
        <v>54.396599999999999</v>
      </c>
      <c r="U293" s="6" t="str">
        <f t="shared" si="13"/>
        <v>Profit</v>
      </c>
      <c r="V293" s="6" t="str">
        <f t="shared" si="14"/>
        <v>Low Sales</v>
      </c>
    </row>
    <row r="294" spans="1:22" x14ac:dyDescent="0.3">
      <c r="A294" s="1">
        <v>293</v>
      </c>
      <c r="B294" s="2">
        <v>41599</v>
      </c>
      <c r="C294" s="1">
        <v>2013</v>
      </c>
      <c r="D294" s="3" t="s">
        <v>20</v>
      </c>
      <c r="E294" s="2">
        <v>41603</v>
      </c>
      <c r="F294" s="1">
        <f t="shared" si="12"/>
        <v>4</v>
      </c>
      <c r="G294" s="1" t="s">
        <v>21</v>
      </c>
      <c r="H294" s="1" t="s">
        <v>555</v>
      </c>
      <c r="I294" s="1" t="s">
        <v>77</v>
      </c>
      <c r="J294" s="1" t="s">
        <v>24</v>
      </c>
      <c r="K294" s="1" t="s">
        <v>285</v>
      </c>
      <c r="L294" s="1" t="s">
        <v>286</v>
      </c>
      <c r="M294" s="1" t="s">
        <v>107</v>
      </c>
      <c r="N294" s="1" t="s">
        <v>28</v>
      </c>
      <c r="O294" s="1" t="s">
        <v>29</v>
      </c>
      <c r="P294" s="1" t="s">
        <v>559</v>
      </c>
      <c r="Q294" s="4">
        <v>86.97</v>
      </c>
      <c r="R294" s="1">
        <v>3</v>
      </c>
      <c r="S294" s="5">
        <v>0.5</v>
      </c>
      <c r="T294" s="4">
        <v>-48.703200000000002</v>
      </c>
      <c r="U294" s="6" t="str">
        <f t="shared" si="13"/>
        <v>Loss</v>
      </c>
      <c r="V294" s="6" t="str">
        <f t="shared" si="14"/>
        <v>Low Sales</v>
      </c>
    </row>
    <row r="295" spans="1:22" x14ac:dyDescent="0.3">
      <c r="A295" s="1">
        <v>294</v>
      </c>
      <c r="B295" s="2">
        <v>40903</v>
      </c>
      <c r="C295" s="1">
        <v>2011</v>
      </c>
      <c r="D295" s="3" t="s">
        <v>71</v>
      </c>
      <c r="E295" s="2">
        <v>40905</v>
      </c>
      <c r="F295" s="1">
        <f t="shared" si="12"/>
        <v>2</v>
      </c>
      <c r="G295" s="1" t="s">
        <v>129</v>
      </c>
      <c r="H295" s="1" t="s">
        <v>560</v>
      </c>
      <c r="I295" s="1" t="s">
        <v>35</v>
      </c>
      <c r="J295" s="1" t="s">
        <v>24</v>
      </c>
      <c r="K295" s="1" t="s">
        <v>561</v>
      </c>
      <c r="L295" s="1" t="s">
        <v>265</v>
      </c>
      <c r="M295" s="1" t="s">
        <v>38</v>
      </c>
      <c r="N295" s="1" t="s">
        <v>28</v>
      </c>
      <c r="O295" s="1" t="s">
        <v>52</v>
      </c>
      <c r="P295" s="1" t="s">
        <v>562</v>
      </c>
      <c r="Q295" s="4">
        <v>300.416</v>
      </c>
      <c r="R295" s="1">
        <v>8</v>
      </c>
      <c r="S295" s="5">
        <v>0.2</v>
      </c>
      <c r="T295" s="4">
        <v>78.859200000000001</v>
      </c>
      <c r="U295" s="6" t="str">
        <f t="shared" si="13"/>
        <v>Profit</v>
      </c>
      <c r="V295" s="6" t="str">
        <f t="shared" si="14"/>
        <v>Low Sales</v>
      </c>
    </row>
    <row r="296" spans="1:22" x14ac:dyDescent="0.3">
      <c r="A296" s="1">
        <v>295</v>
      </c>
      <c r="B296" s="2">
        <v>40903</v>
      </c>
      <c r="C296" s="1">
        <v>2011</v>
      </c>
      <c r="D296" s="3" t="s">
        <v>71</v>
      </c>
      <c r="E296" s="2">
        <v>40905</v>
      </c>
      <c r="F296" s="1">
        <f t="shared" si="12"/>
        <v>2</v>
      </c>
      <c r="G296" s="1" t="s">
        <v>129</v>
      </c>
      <c r="H296" s="1" t="s">
        <v>560</v>
      </c>
      <c r="I296" s="1" t="s">
        <v>35</v>
      </c>
      <c r="J296" s="1" t="s">
        <v>24</v>
      </c>
      <c r="K296" s="1" t="s">
        <v>561</v>
      </c>
      <c r="L296" s="1" t="s">
        <v>265</v>
      </c>
      <c r="M296" s="1" t="s">
        <v>38</v>
      </c>
      <c r="N296" s="1" t="s">
        <v>28</v>
      </c>
      <c r="O296" s="1" t="s">
        <v>31</v>
      </c>
      <c r="P296" s="1" t="s">
        <v>563</v>
      </c>
      <c r="Q296" s="4">
        <v>230.352</v>
      </c>
      <c r="R296" s="1">
        <v>3</v>
      </c>
      <c r="S296" s="5">
        <v>0.2</v>
      </c>
      <c r="T296" s="4">
        <v>20.155799999999999</v>
      </c>
      <c r="U296" s="6" t="str">
        <f t="shared" si="13"/>
        <v>Profit</v>
      </c>
      <c r="V296" s="6" t="str">
        <f t="shared" si="14"/>
        <v>Low Sales</v>
      </c>
    </row>
    <row r="297" spans="1:22" x14ac:dyDescent="0.3">
      <c r="A297" s="1">
        <v>296</v>
      </c>
      <c r="B297" s="2">
        <v>40903</v>
      </c>
      <c r="C297" s="1">
        <v>2011</v>
      </c>
      <c r="D297" s="3" t="s">
        <v>71</v>
      </c>
      <c r="E297" s="2">
        <v>40905</v>
      </c>
      <c r="F297" s="1">
        <f t="shared" si="12"/>
        <v>2</v>
      </c>
      <c r="G297" s="1" t="s">
        <v>129</v>
      </c>
      <c r="H297" s="1" t="s">
        <v>560</v>
      </c>
      <c r="I297" s="1" t="s">
        <v>35</v>
      </c>
      <c r="J297" s="1" t="s">
        <v>24</v>
      </c>
      <c r="K297" s="1" t="s">
        <v>561</v>
      </c>
      <c r="L297" s="1" t="s">
        <v>265</v>
      </c>
      <c r="M297" s="1" t="s">
        <v>38</v>
      </c>
      <c r="N297" s="1" t="s">
        <v>28</v>
      </c>
      <c r="O297" s="1" t="s">
        <v>52</v>
      </c>
      <c r="P297" s="1" t="s">
        <v>564</v>
      </c>
      <c r="Q297" s="4">
        <v>218.352</v>
      </c>
      <c r="R297" s="1">
        <v>3</v>
      </c>
      <c r="S297" s="5">
        <v>0.2</v>
      </c>
      <c r="T297" s="4">
        <v>-24.564599999999999</v>
      </c>
      <c r="U297" s="6" t="str">
        <f t="shared" si="13"/>
        <v>Loss</v>
      </c>
      <c r="V297" s="6" t="str">
        <f t="shared" si="14"/>
        <v>Low Sales</v>
      </c>
    </row>
    <row r="298" spans="1:22" x14ac:dyDescent="0.3">
      <c r="A298" s="1">
        <v>297</v>
      </c>
      <c r="B298" s="2">
        <v>40903</v>
      </c>
      <c r="C298" s="1">
        <v>2011</v>
      </c>
      <c r="D298" s="3" t="s">
        <v>71</v>
      </c>
      <c r="E298" s="2">
        <v>40905</v>
      </c>
      <c r="F298" s="1">
        <f t="shared" si="12"/>
        <v>2</v>
      </c>
      <c r="G298" s="1" t="s">
        <v>129</v>
      </c>
      <c r="H298" s="1" t="s">
        <v>560</v>
      </c>
      <c r="I298" s="1" t="s">
        <v>35</v>
      </c>
      <c r="J298" s="1" t="s">
        <v>24</v>
      </c>
      <c r="K298" s="1" t="s">
        <v>561</v>
      </c>
      <c r="L298" s="1" t="s">
        <v>265</v>
      </c>
      <c r="M298" s="1" t="s">
        <v>38</v>
      </c>
      <c r="N298" s="1" t="s">
        <v>39</v>
      </c>
      <c r="O298" s="1" t="s">
        <v>59</v>
      </c>
      <c r="P298" s="1" t="s">
        <v>565</v>
      </c>
      <c r="Q298" s="4">
        <v>78.599999999999994</v>
      </c>
      <c r="R298" s="1">
        <v>5</v>
      </c>
      <c r="S298" s="5">
        <v>0.7</v>
      </c>
      <c r="T298" s="4">
        <v>-62.88</v>
      </c>
      <c r="U298" s="6" t="str">
        <f t="shared" si="13"/>
        <v>Loss</v>
      </c>
      <c r="V298" s="6" t="str">
        <f t="shared" si="14"/>
        <v>Low Sales</v>
      </c>
    </row>
    <row r="299" spans="1:22" x14ac:dyDescent="0.3">
      <c r="A299" s="1">
        <v>298</v>
      </c>
      <c r="B299" s="2">
        <v>40903</v>
      </c>
      <c r="C299" s="1">
        <v>2011</v>
      </c>
      <c r="D299" s="3" t="s">
        <v>71</v>
      </c>
      <c r="E299" s="2">
        <v>40905</v>
      </c>
      <c r="F299" s="1">
        <f t="shared" si="12"/>
        <v>2</v>
      </c>
      <c r="G299" s="1" t="s">
        <v>129</v>
      </c>
      <c r="H299" s="1" t="s">
        <v>560</v>
      </c>
      <c r="I299" s="1" t="s">
        <v>35</v>
      </c>
      <c r="J299" s="1" t="s">
        <v>24</v>
      </c>
      <c r="K299" s="1" t="s">
        <v>561</v>
      </c>
      <c r="L299" s="1" t="s">
        <v>265</v>
      </c>
      <c r="M299" s="1" t="s">
        <v>38</v>
      </c>
      <c r="N299" s="1" t="s">
        <v>39</v>
      </c>
      <c r="O299" s="1" t="s">
        <v>173</v>
      </c>
      <c r="P299" s="1" t="s">
        <v>566</v>
      </c>
      <c r="Q299" s="4">
        <v>27.552</v>
      </c>
      <c r="R299" s="1">
        <v>3</v>
      </c>
      <c r="S299" s="5">
        <v>0.2</v>
      </c>
      <c r="T299" s="4">
        <v>9.2988</v>
      </c>
      <c r="U299" s="6" t="str">
        <f t="shared" si="13"/>
        <v>Profit</v>
      </c>
      <c r="V299" s="6" t="str">
        <f t="shared" si="14"/>
        <v>Low Sales</v>
      </c>
    </row>
    <row r="300" spans="1:22" x14ac:dyDescent="0.3">
      <c r="A300" s="1">
        <v>299</v>
      </c>
      <c r="B300" s="2">
        <v>41576</v>
      </c>
      <c r="C300" s="1">
        <v>2013</v>
      </c>
      <c r="D300" s="3" t="s">
        <v>42</v>
      </c>
      <c r="E300" s="2">
        <v>41582</v>
      </c>
      <c r="F300" s="1">
        <f t="shared" si="12"/>
        <v>6</v>
      </c>
      <c r="G300" s="1" t="s">
        <v>43</v>
      </c>
      <c r="H300" s="1" t="s">
        <v>327</v>
      </c>
      <c r="I300" s="1" t="s">
        <v>35</v>
      </c>
      <c r="J300" s="1" t="s">
        <v>24</v>
      </c>
      <c r="K300" s="1" t="s">
        <v>567</v>
      </c>
      <c r="L300" s="1" t="s">
        <v>426</v>
      </c>
      <c r="M300" s="1" t="s">
        <v>107</v>
      </c>
      <c r="N300" s="1" t="s">
        <v>39</v>
      </c>
      <c r="O300" s="1" t="s">
        <v>69</v>
      </c>
      <c r="P300" s="1" t="s">
        <v>568</v>
      </c>
      <c r="Q300" s="4">
        <v>32.4</v>
      </c>
      <c r="R300" s="1">
        <v>5</v>
      </c>
      <c r="S300" s="5">
        <v>0</v>
      </c>
      <c r="T300" s="4">
        <v>15.552</v>
      </c>
      <c r="U300" s="6" t="str">
        <f t="shared" si="13"/>
        <v>Profit</v>
      </c>
      <c r="V300" s="6" t="str">
        <f t="shared" si="14"/>
        <v>Low Sales</v>
      </c>
    </row>
  </sheetData>
  <mergeCells count="5">
    <mergeCell ref="W6:X6"/>
    <mergeCell ref="AD1:AE2"/>
    <mergeCell ref="AD8:AE9"/>
    <mergeCell ref="AE4:AE5"/>
    <mergeCell ref="W1:Y1"/>
  </mergeCells>
  <conditionalFormatting sqref="AD4">
    <cfRule type="expression" dxfId="0" priority="5">
      <formula>$S2&lt;0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0CC6B-AA5F-4815-9AB5-20BAC63351B4}">
  <dimension ref="A1:K15"/>
  <sheetViews>
    <sheetView workbookViewId="0">
      <selection activeCell="E19" sqref="E19"/>
    </sheetView>
  </sheetViews>
  <sheetFormatPr defaultColWidth="13.6640625" defaultRowHeight="14.4" x14ac:dyDescent="0.3"/>
  <sheetData>
    <row r="1" spans="1:11" x14ac:dyDescent="0.3">
      <c r="A1" s="28" t="s">
        <v>16</v>
      </c>
      <c r="B1" s="34"/>
      <c r="D1" s="37" t="s">
        <v>17</v>
      </c>
      <c r="E1" s="38"/>
      <c r="G1" s="37" t="s">
        <v>18</v>
      </c>
      <c r="H1" s="38"/>
      <c r="J1" s="37" t="s">
        <v>19</v>
      </c>
      <c r="K1" s="38"/>
    </row>
    <row r="2" spans="1:11" x14ac:dyDescent="0.3">
      <c r="A2" s="35"/>
      <c r="B2" s="36"/>
      <c r="D2" s="38"/>
      <c r="E2" s="38"/>
      <c r="G2" s="38"/>
      <c r="H2" s="38"/>
      <c r="J2" s="38"/>
      <c r="K2" s="38"/>
    </row>
    <row r="3" spans="1:11" x14ac:dyDescent="0.3">
      <c r="A3" s="12" t="s">
        <v>569</v>
      </c>
      <c r="B3" s="12">
        <v>256.92752240802679</v>
      </c>
      <c r="D3" s="12" t="s">
        <v>569</v>
      </c>
      <c r="E3" s="12">
        <v>4.0301003344481607</v>
      </c>
      <c r="G3" s="12" t="s">
        <v>569</v>
      </c>
      <c r="H3" s="12">
        <v>0.18317725752508399</v>
      </c>
      <c r="J3" s="12" t="s">
        <v>569</v>
      </c>
      <c r="K3" s="12">
        <v>-1.7052157190635449</v>
      </c>
    </row>
    <row r="4" spans="1:11" x14ac:dyDescent="0.3">
      <c r="A4" s="12" t="s">
        <v>570</v>
      </c>
      <c r="B4" s="12">
        <v>37.493502866405954</v>
      </c>
      <c r="D4" s="12" t="s">
        <v>570</v>
      </c>
      <c r="E4" s="12">
        <v>0.13461892228288289</v>
      </c>
      <c r="G4" s="12" t="s">
        <v>570</v>
      </c>
      <c r="H4" s="12">
        <v>1.2600644903973722E-2</v>
      </c>
      <c r="J4" s="12" t="s">
        <v>570</v>
      </c>
      <c r="K4" s="12">
        <v>10.16475057578328</v>
      </c>
    </row>
    <row r="5" spans="1:11" x14ac:dyDescent="0.3">
      <c r="A5" s="12" t="s">
        <v>571</v>
      </c>
      <c r="B5" s="12">
        <v>66.284000000000006</v>
      </c>
      <c r="D5" s="12" t="s">
        <v>571</v>
      </c>
      <c r="E5" s="12">
        <v>3</v>
      </c>
      <c r="G5" s="12" t="s">
        <v>571</v>
      </c>
      <c r="H5" s="12">
        <v>0.2</v>
      </c>
      <c r="J5" s="12" t="s">
        <v>571</v>
      </c>
      <c r="K5" s="12">
        <v>6.9732000000000003</v>
      </c>
    </row>
    <row r="6" spans="1:11" x14ac:dyDescent="0.3">
      <c r="A6" s="12" t="s">
        <v>572</v>
      </c>
      <c r="B6" s="12">
        <v>14.62</v>
      </c>
      <c r="D6" s="12" t="s">
        <v>572</v>
      </c>
      <c r="E6" s="12">
        <v>3</v>
      </c>
      <c r="G6" s="12" t="s">
        <v>572</v>
      </c>
      <c r="H6" s="12">
        <v>0</v>
      </c>
      <c r="J6" s="12" t="s">
        <v>572</v>
      </c>
      <c r="K6" s="12">
        <v>6.8714000000000004</v>
      </c>
    </row>
    <row r="7" spans="1:11" x14ac:dyDescent="0.3">
      <c r="A7" s="12" t="s">
        <v>573</v>
      </c>
      <c r="B7" s="12">
        <v>648.32327152491166</v>
      </c>
      <c r="D7" s="12" t="s">
        <v>573</v>
      </c>
      <c r="E7" s="12">
        <v>2.3277787731536805</v>
      </c>
      <c r="G7" s="12" t="s">
        <v>573</v>
      </c>
      <c r="H7" s="12">
        <v>0.2178855189011322</v>
      </c>
      <c r="J7" s="12" t="s">
        <v>573</v>
      </c>
      <c r="K7" s="12">
        <v>175.76496842686848</v>
      </c>
    </row>
    <row r="8" spans="1:11" x14ac:dyDescent="0.3">
      <c r="A8" s="12" t="s">
        <v>574</v>
      </c>
      <c r="B8" s="12">
        <v>420323.0644007643</v>
      </c>
      <c r="D8" s="12" t="s">
        <v>574</v>
      </c>
      <c r="E8" s="12">
        <v>5.4185540167448547</v>
      </c>
      <c r="G8" s="12" t="s">
        <v>574</v>
      </c>
      <c r="H8" s="12">
        <v>4.7474099346815631E-2</v>
      </c>
      <c r="J8" s="12" t="s">
        <v>574</v>
      </c>
      <c r="K8" s="12">
        <v>30893.324126098069</v>
      </c>
    </row>
    <row r="9" spans="1:11" x14ac:dyDescent="0.3">
      <c r="A9" s="12" t="s">
        <v>575</v>
      </c>
      <c r="B9" s="12">
        <v>77.959358299642972</v>
      </c>
      <c r="D9" s="12" t="s">
        <v>575</v>
      </c>
      <c r="E9" s="12">
        <v>1.8191813482783723</v>
      </c>
      <c r="G9" s="12" t="s">
        <v>575</v>
      </c>
      <c r="H9" s="12">
        <v>1.3550056567080238</v>
      </c>
      <c r="J9" s="12" t="s">
        <v>575</v>
      </c>
      <c r="K9" s="12">
        <v>42.134606250818727</v>
      </c>
    </row>
    <row r="10" spans="1:11" x14ac:dyDescent="0.3">
      <c r="A10" s="12" t="s">
        <v>576</v>
      </c>
      <c r="B10" s="12">
        <v>7.4730232694439023</v>
      </c>
      <c r="D10" s="12" t="s">
        <v>576</v>
      </c>
      <c r="E10" s="12">
        <v>1.1573793795211371</v>
      </c>
      <c r="G10" s="12" t="s">
        <v>576</v>
      </c>
      <c r="H10" s="12">
        <v>1.4138470758532726</v>
      </c>
      <c r="J10" s="12" t="s">
        <v>576</v>
      </c>
      <c r="K10" s="12">
        <v>-4.6968718861934535</v>
      </c>
    </row>
    <row r="11" spans="1:11" x14ac:dyDescent="0.3">
      <c r="A11" s="12" t="s">
        <v>577</v>
      </c>
      <c r="B11" s="12">
        <v>8158.7040000000006</v>
      </c>
      <c r="D11" s="12" t="s">
        <v>577</v>
      </c>
      <c r="E11" s="12">
        <v>13</v>
      </c>
      <c r="G11" s="12" t="s">
        <v>577</v>
      </c>
      <c r="H11" s="12">
        <v>0.8</v>
      </c>
      <c r="J11" s="12" t="s">
        <v>577</v>
      </c>
      <c r="K11" s="12">
        <v>2301.0525000000002</v>
      </c>
    </row>
    <row r="12" spans="1:11" x14ac:dyDescent="0.3">
      <c r="A12" s="12" t="s">
        <v>578</v>
      </c>
      <c r="B12" s="12">
        <v>1.248</v>
      </c>
      <c r="D12" s="12" t="s">
        <v>578</v>
      </c>
      <c r="E12" s="12">
        <v>1</v>
      </c>
      <c r="G12" s="12" t="s">
        <v>578</v>
      </c>
      <c r="H12" s="12">
        <v>0</v>
      </c>
      <c r="J12" s="12" t="s">
        <v>578</v>
      </c>
      <c r="K12" s="12">
        <v>-1665.0522000000001</v>
      </c>
    </row>
    <row r="13" spans="1:11" x14ac:dyDescent="0.3">
      <c r="A13" s="12" t="s">
        <v>579</v>
      </c>
      <c r="B13" s="12">
        <v>8159.9520000000002</v>
      </c>
      <c r="D13" s="12" t="s">
        <v>579</v>
      </c>
      <c r="E13" s="12">
        <v>14</v>
      </c>
      <c r="G13" s="12" t="s">
        <v>579</v>
      </c>
      <c r="H13" s="12">
        <v>0.8</v>
      </c>
      <c r="J13" s="12" t="s">
        <v>579</v>
      </c>
      <c r="K13" s="12">
        <v>636.00030000000004</v>
      </c>
    </row>
    <row r="14" spans="1:11" x14ac:dyDescent="0.3">
      <c r="A14" s="12" t="s">
        <v>580</v>
      </c>
      <c r="B14" s="12">
        <v>76821.329200000007</v>
      </c>
      <c r="D14" s="12" t="s">
        <v>580</v>
      </c>
      <c r="E14" s="12">
        <v>1205</v>
      </c>
      <c r="G14" s="12" t="s">
        <v>580</v>
      </c>
      <c r="H14" s="12">
        <v>54.77000000000011</v>
      </c>
      <c r="J14" s="12" t="s">
        <v>580</v>
      </c>
      <c r="K14" s="12">
        <v>-509.85949999999991</v>
      </c>
    </row>
    <row r="15" spans="1:11" x14ac:dyDescent="0.3">
      <c r="A15" s="12" t="s">
        <v>581</v>
      </c>
      <c r="B15" s="12">
        <v>299</v>
      </c>
      <c r="D15" s="12" t="s">
        <v>581</v>
      </c>
      <c r="E15" s="12">
        <v>299</v>
      </c>
      <c r="G15" s="12" t="s">
        <v>581</v>
      </c>
      <c r="H15" s="12">
        <v>299</v>
      </c>
      <c r="J15" s="12" t="s">
        <v>581</v>
      </c>
      <c r="K15" s="12">
        <v>299</v>
      </c>
    </row>
  </sheetData>
  <mergeCells count="4">
    <mergeCell ref="A1:B2"/>
    <mergeCell ref="D1:E2"/>
    <mergeCell ref="G1:H2"/>
    <mergeCell ref="J1: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268C-0D67-4B19-9A31-E3EEAABAB9D2}">
  <dimension ref="A2:I8"/>
  <sheetViews>
    <sheetView workbookViewId="0">
      <selection activeCell="G26" sqref="G26"/>
    </sheetView>
  </sheetViews>
  <sheetFormatPr defaultRowHeight="14.4" x14ac:dyDescent="0.3"/>
  <cols>
    <col min="1" max="1" width="13.109375" bestFit="1" customWidth="1"/>
    <col min="2" max="2" width="11.6640625" bestFit="1" customWidth="1"/>
    <col min="4" max="4" width="12.5546875" bestFit="1" customWidth="1"/>
    <col min="5" max="5" width="12.109375" bestFit="1" customWidth="1"/>
    <col min="7" max="7" width="12.77734375" bestFit="1" customWidth="1"/>
    <col min="8" max="8" width="11.6640625" bestFit="1" customWidth="1"/>
    <col min="9" max="9" width="12.109375" bestFit="1" customWidth="1"/>
  </cols>
  <sheetData>
    <row r="2" spans="1:9" x14ac:dyDescent="0.3">
      <c r="A2" s="39" t="s">
        <v>592</v>
      </c>
      <c r="B2" s="39"/>
      <c r="D2" s="39" t="s">
        <v>594</v>
      </c>
      <c r="E2" s="39"/>
      <c r="G2" s="39" t="s">
        <v>595</v>
      </c>
      <c r="H2" s="39"/>
      <c r="I2" s="39"/>
    </row>
    <row r="3" spans="1:9" x14ac:dyDescent="0.3">
      <c r="A3" s="13" t="s">
        <v>589</v>
      </c>
      <c r="B3" t="s">
        <v>591</v>
      </c>
      <c r="D3" s="13" t="s">
        <v>589</v>
      </c>
      <c r="E3" t="s">
        <v>593</v>
      </c>
      <c r="G3" s="13" t="s">
        <v>589</v>
      </c>
      <c r="H3" t="s">
        <v>591</v>
      </c>
      <c r="I3" t="s">
        <v>593</v>
      </c>
    </row>
    <row r="4" spans="1:9" x14ac:dyDescent="0.3">
      <c r="A4" s="14" t="s">
        <v>28</v>
      </c>
      <c r="B4" s="15">
        <v>28126.361200000003</v>
      </c>
      <c r="D4" s="14" t="s">
        <v>80</v>
      </c>
      <c r="E4" s="15">
        <v>-775.01269999999897</v>
      </c>
      <c r="G4" s="14" t="s">
        <v>129</v>
      </c>
      <c r="H4" s="15">
        <v>7943.7159999999994</v>
      </c>
      <c r="I4" s="15">
        <v>486.70609999999988</v>
      </c>
    </row>
    <row r="5" spans="1:9" x14ac:dyDescent="0.3">
      <c r="A5" s="14" t="s">
        <v>39</v>
      </c>
      <c r="B5" s="15">
        <v>16027.943999999989</v>
      </c>
      <c r="D5" s="14" t="s">
        <v>107</v>
      </c>
      <c r="E5" s="15">
        <v>-1951.4917</v>
      </c>
      <c r="G5" s="14" t="s">
        <v>21</v>
      </c>
      <c r="H5" s="15">
        <v>20087.699000000004</v>
      </c>
      <c r="I5" s="15">
        <v>667.5868999999999</v>
      </c>
    </row>
    <row r="6" spans="1:9" x14ac:dyDescent="0.3">
      <c r="A6" s="14" t="s">
        <v>56</v>
      </c>
      <c r="B6" s="15">
        <v>32667.023999999994</v>
      </c>
      <c r="D6" s="14" t="s">
        <v>27</v>
      </c>
      <c r="E6" s="15">
        <v>-647.54350000000011</v>
      </c>
      <c r="G6" s="14" t="s">
        <v>43</v>
      </c>
      <c r="H6" s="15">
        <v>48789.914200000028</v>
      </c>
      <c r="I6" s="15">
        <v>-1664.1525000000004</v>
      </c>
    </row>
    <row r="7" spans="1:9" x14ac:dyDescent="0.3">
      <c r="A7" s="14" t="s">
        <v>590</v>
      </c>
      <c r="B7" s="15">
        <v>76821.329199999978</v>
      </c>
      <c r="D7" s="14" t="s">
        <v>38</v>
      </c>
      <c r="E7" s="15">
        <v>2864.1883999999991</v>
      </c>
      <c r="G7" s="14" t="s">
        <v>590</v>
      </c>
      <c r="H7" s="15">
        <v>76821.329200000037</v>
      </c>
      <c r="I7" s="15">
        <v>-509.85950000000071</v>
      </c>
    </row>
    <row r="8" spans="1:9" x14ac:dyDescent="0.3">
      <c r="D8" s="14" t="s">
        <v>590</v>
      </c>
      <c r="E8" s="15">
        <v>-509.85950000000003</v>
      </c>
    </row>
  </sheetData>
  <mergeCells count="3">
    <mergeCell ref="A2:B2"/>
    <mergeCell ref="D2:E2"/>
    <mergeCell ref="G2:I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BB45-C5C5-469A-9C4D-FBC14F1D37EA}">
  <dimension ref="A1"/>
  <sheetViews>
    <sheetView showGridLines="0" zoomScale="90" zoomScaleNormal="90" workbookViewId="0">
      <selection activeCell="AA8" sqref="AA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Descriptive Statistics</vt:lpstr>
      <vt:lpstr>Pivot Table and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2026-02-23T09:48:32Z</dcterms:created>
  <dcterms:modified xsi:type="dcterms:W3CDTF">2026-03-02T09:54:45Z</dcterms:modified>
</cp:coreProperties>
</file>