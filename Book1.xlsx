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xr:revisionPtr revIDLastSave="0" documentId="13_ncr:1_{C15B4EC8-B7F7-4B9B-8C51-099AB62A2C66}" xr6:coauthVersionLast="36" xr6:coauthVersionMax="36" xr10:uidLastSave="{00000000-0000-0000-0000-000000000000}"/>
  <bookViews>
    <workbookView xWindow="0" yWindow="0" windowWidth="23040" windowHeight="8940" xr2:uid="{E0C924B8-FDC6-4C6A-AAC8-96E027EC8D9D}"/>
  </bookViews>
  <sheets>
    <sheet name="Sheet1" sheetId="1" r:id="rId1"/>
    <sheet name="Sheet5" sheetId="5" r:id="rId2"/>
    <sheet name="Sheet6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7" i="1" l="1"/>
  <c r="B67" i="1"/>
  <c r="K36" i="1" l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E5" i="1" l="1"/>
  <c r="E4" i="1"/>
  <c r="D51" i="1" l="1"/>
  <c r="E51" i="1"/>
  <c r="F51" i="1"/>
  <c r="G51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36" i="1"/>
  <c r="D6" i="1"/>
  <c r="C6" i="1"/>
  <c r="B6" i="1"/>
  <c r="E2" i="1"/>
  <c r="E3" i="1"/>
  <c r="J51" i="1" l="1"/>
  <c r="K51" i="1"/>
  <c r="I51" i="1"/>
  <c r="E6" i="1"/>
  <c r="B19" i="1"/>
  <c r="B18" i="1"/>
  <c r="B17" i="1"/>
  <c r="B16" i="1"/>
  <c r="B15" i="1"/>
  <c r="B14" i="1"/>
  <c r="B13" i="1"/>
  <c r="B11" i="1"/>
  <c r="B12" i="1"/>
  <c r="B10" i="1"/>
  <c r="B9" i="1"/>
  <c r="B8" i="1"/>
  <c r="B7" i="1"/>
  <c r="D52" i="1"/>
</calcChain>
</file>

<file path=xl/sharedStrings.xml><?xml version="1.0" encoding="utf-8"?>
<sst xmlns="http://schemas.openxmlformats.org/spreadsheetml/2006/main" count="69" uniqueCount="57">
  <si>
    <t>Name</t>
  </si>
  <si>
    <t>Marks1</t>
  </si>
  <si>
    <t>Marks2</t>
  </si>
  <si>
    <t>Marks3</t>
  </si>
  <si>
    <t>Asha</t>
  </si>
  <si>
    <t>Ravi</t>
  </si>
  <si>
    <t>Neha</t>
  </si>
  <si>
    <t>Aman</t>
  </si>
  <si>
    <t>Sum-&gt;</t>
  </si>
  <si>
    <t>Average-&gt;</t>
  </si>
  <si>
    <t>Max-&gt;</t>
  </si>
  <si>
    <t>Min-&gt;</t>
  </si>
  <si>
    <t>Condition-&gt;</t>
  </si>
  <si>
    <t>Percentage-&gt;</t>
  </si>
  <si>
    <t>Round-&gt;</t>
  </si>
  <si>
    <t>RoundUp-&gt;</t>
  </si>
  <si>
    <t>Total Sum</t>
  </si>
  <si>
    <t>RollNo</t>
  </si>
  <si>
    <t>Amit</t>
  </si>
  <si>
    <t>Riya</t>
  </si>
  <si>
    <t>Kunal</t>
  </si>
  <si>
    <t>Rahul</t>
  </si>
  <si>
    <t>Priya</t>
  </si>
  <si>
    <t>Arjun</t>
  </si>
  <si>
    <t>Sneha</t>
  </si>
  <si>
    <t>Vikas</t>
  </si>
  <si>
    <t>Pooja</t>
  </si>
  <si>
    <t>Class</t>
  </si>
  <si>
    <t>Attendance%</t>
  </si>
  <si>
    <t>Manish</t>
  </si>
  <si>
    <t>Kajal</t>
  </si>
  <si>
    <t>Rohit</t>
  </si>
  <si>
    <t>Nisha</t>
  </si>
  <si>
    <t>Ajay</t>
  </si>
  <si>
    <t>Add Marks3</t>
  </si>
  <si>
    <t>Marks32</t>
  </si>
  <si>
    <t>Condition</t>
  </si>
  <si>
    <t>Condition2</t>
  </si>
  <si>
    <t>Math Score</t>
  </si>
  <si>
    <t>Science Score</t>
  </si>
  <si>
    <t>A</t>
  </si>
  <si>
    <t>B</t>
  </si>
  <si>
    <t>C</t>
  </si>
  <si>
    <t>D</t>
  </si>
  <si>
    <t>E</t>
  </si>
  <si>
    <t>Students</t>
  </si>
  <si>
    <t>Order Id</t>
  </si>
  <si>
    <t>City</t>
  </si>
  <si>
    <t>New York</t>
  </si>
  <si>
    <t>Chicago</t>
  </si>
  <si>
    <t>Boston</t>
  </si>
  <si>
    <t>Sales</t>
  </si>
  <si>
    <t>Condition3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</si>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</sst>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BC023-6328-4599-8532-2D90675F184A}" name="Table1" displayName="Table1" ref="A1:E6" totalsRowCount="1">
  <autoFilter ref="A1:E5" xr:uid="{0698A9C4-FFCC-407C-9C38-AE7DBA8A7FD2}"/>
  <sortState ref="A2:D5">
    <sortCondition descending="1" ref="B1:B5"/>
  </sortState>
  <tableColumns count="5">
    <tableColumn id="1" xr3:uid="{C1F7F012-659C-4668-B51A-A5A2D08DE77A}" name="Name"/>
    <tableColumn id="2" xr3:uid="{D2219172-1142-4EAB-BE64-F11CBC789393}" name="Marks1" totalsRowFunction="custom">
      <totalsRowFormula>B2+B3+B4+B5</totalsRowFormula>
    </tableColumn>
    <tableColumn id="3" xr3:uid="{24535E80-F593-4FA0-B8A7-781F8AA4334B}" name="Marks2" totalsRowFunction="custom">
      <totalsRowFormula>C2+C3+C4+C5</totalsRowFormula>
    </tableColumn>
    <tableColumn id="4" xr3:uid="{BC1FDA7F-04E9-4FE2-A619-FE8744AB33C5}" name="Marks3" totalsRowFunction="custom">
      <totalsRowFormula>D2+D3+D4+D5</totalsRowFormula>
    </tableColumn>
    <tableColumn id="5" xr3:uid="{2D6056FC-300F-4028-A202-03063DA24B85}" name="Total Sum" totalsRowFunction="custom" dataDxfId="0">
      <calculatedColumnFormula>Table1[[#This Row],[Marks1]]+Table1[[#This Row],[Marks2]]+Table1[[#This Row],[Marks3]]</calculatedColumnFormula>
      <totalsRowFormula>E2+E3+E4+E5</totalsRow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D4C526-8E22-435A-A195-9F5A8EF2A6A6}" name="Table3" displayName="Table3" ref="A35:K52" totalsRowCount="1">
  <autoFilter ref="A35:K51" xr:uid="{AB7C5E73-D71B-442A-A771-0770FFF246A6}"/>
  <tableColumns count="11">
    <tableColumn id="1" xr3:uid="{588A5CCF-C448-43E1-9502-99AB52C879AA}" name="RollNo"/>
    <tableColumn id="2" xr3:uid="{E32C94FE-7AB5-46EE-A396-B8F793D5068A}" name="Name"/>
    <tableColumn id="3" xr3:uid="{407877FE-BD5F-4243-ABFF-2F87DBE82DFB}" name="Class"/>
    <tableColumn id="4" xr3:uid="{32B1447A-AEAC-4122-90AF-14BC022182BA}" name="Marks1" totalsRowFunction="custom">
      <totalsRowFormula>D44:E52</totalsRowFormula>
    </tableColumn>
    <tableColumn id="5" xr3:uid="{C17EA683-AD9A-4433-89F0-0AC91ECEF760}" name="Marks2"/>
    <tableColumn id="6" xr3:uid="{D916CC42-67C0-4145-9C98-37BB7B51A167}" name="Marks3"/>
    <tableColumn id="7" xr3:uid="{55AB4E21-E209-4BCC-A7F2-3D349CE17C55}" name="Attendance%"/>
    <tableColumn id="8" xr3:uid="{FF621D32-3E5D-424A-9C93-7E3E24818D6B}" name="Add Marks3"/>
    <tableColumn id="9" xr3:uid="{A686B1D0-F7E7-44B7-9298-3A1AA211B979}" name="Marks32"/>
    <tableColumn id="10" xr3:uid="{112C65F2-A1CF-4960-BDEB-915850E10AB8}" name="Condition" dataDxfId="4" totalsRowDxfId="3">
      <calculatedColumnFormula>IF(Table3[[#This Row],[Marks1]]&gt;50,"pass","fail")</calculatedColumnFormula>
    </tableColumn>
    <tableColumn id="11" xr3:uid="{67833E58-9195-4F73-9480-98A7A4DAC4C6}" name="Condition2" dataDxfId="2" totalsRowDxfId="1">
      <calculatedColumnFormula>IF(Table3[[#This Row],[Marks1]]&gt;=90,"A", IF(Table3[[#This Row],[Marks1]]&gt;=80,"B",IF(Table3[[#This Row],[Marks1]]&gt;=70,"C","F")))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D1F9D4-931C-4D73-A1EF-ECAE71674088}" name="Table2" displayName="Table2" ref="A60:C65" totalsRowShown="0">
  <autoFilter ref="A60:C65" xr:uid="{FF3FEBFA-0BA7-4DBB-845F-10608C546152}"/>
  <tableColumns count="3">
    <tableColumn id="1" xr3:uid="{D341AB04-E37F-4DB0-B803-DEE8DC1724AD}" name="Students"/>
    <tableColumn id="2" xr3:uid="{B7098160-58E9-4144-8AB3-243CC807155E}" name="Math Score"/>
    <tableColumn id="3" xr3:uid="{7DC87912-399B-421C-B298-D25EE27EBE33}" name="Science Scor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CAAC5B-D867-4BC1-A18E-3CAD23DAA447}" name="Table4" displayName="Table4" ref="A70:C75" totalsRowShown="0">
  <autoFilter ref="A70:C75" xr:uid="{7DC2188A-8CDB-448C-A757-9F158409558A}"/>
  <tableColumns count="3">
    <tableColumn id="1" xr3:uid="{D1DF40DB-430E-4E18-9D35-F2E77C4225D2}" name="Order Id"/>
    <tableColumn id="2" xr3:uid="{C0674B18-265C-419A-B40F-75B354FFFE54}" name="City"/>
    <tableColumn id="3" xr3:uid="{B63C7783-F3B8-4A49-AA75-3D65AE5DE6E0}" name="Sal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E63A-21E0-45C8-8418-1A7BF7385727}">
  <dimension ref="A1:K77"/>
  <sheetViews>
    <sheetView tabSelected="1" topLeftCell="A66" zoomScale="115" zoomScaleNormal="115" workbookViewId="0">
      <selection activeCell="F78" sqref="F78"/>
    </sheetView>
  </sheetViews>
  <sheetFormatPr defaultColWidth="13.33203125" defaultRowHeight="17.399999999999999" customHeight="1" x14ac:dyDescent="0.3"/>
  <cols>
    <col min="3" max="3" width="13.88671875" customWidth="1"/>
  </cols>
  <sheetData>
    <row r="1" spans="1:5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ht="17.399999999999999" customHeight="1" x14ac:dyDescent="0.3">
      <c r="A2" t="s">
        <v>6</v>
      </c>
      <c r="B2">
        <v>90</v>
      </c>
      <c r="C2">
        <v>85</v>
      </c>
      <c r="D2">
        <v>88</v>
      </c>
      <c r="E2">
        <f>Table1[[#This Row],[Marks1]]+Table1[[#This Row],[Marks2]]+Table1[[#This Row],[Marks3]]</f>
        <v>263</v>
      </c>
    </row>
    <row r="3" spans="1:5" ht="17.399999999999999" customHeight="1" x14ac:dyDescent="0.3">
      <c r="A3" t="s">
        <v>4</v>
      </c>
      <c r="B3">
        <v>65</v>
      </c>
      <c r="C3">
        <v>70</v>
      </c>
      <c r="D3">
        <v>80</v>
      </c>
      <c r="E3">
        <f>Table1[[#This Row],[Marks1]]+Table1[[#This Row],[Marks2]]+Table1[[#This Row],[Marks3]]</f>
        <v>215</v>
      </c>
    </row>
    <row r="4" spans="1:5" ht="17.399999999999999" customHeight="1" x14ac:dyDescent="0.3">
      <c r="A4" t="s">
        <v>5</v>
      </c>
      <c r="B4">
        <v>55</v>
      </c>
      <c r="C4">
        <v>60</v>
      </c>
      <c r="D4">
        <v>58</v>
      </c>
      <c r="E4">
        <f>Table1[[#This Row],[Marks1]]+Table1[[#This Row],[Marks2]]+Table1[[#This Row],[Marks3]]</f>
        <v>173</v>
      </c>
    </row>
    <row r="5" spans="1:5" ht="17.399999999999999" customHeight="1" x14ac:dyDescent="0.3">
      <c r="A5" t="s">
        <v>7</v>
      </c>
      <c r="B5">
        <v>40</v>
      </c>
      <c r="C5">
        <v>45</v>
      </c>
      <c r="D5">
        <v>50</v>
      </c>
      <c r="E5">
        <f>Table1[[#This Row],[Marks1]]+Table1[[#This Row],[Marks2]]+Table1[[#This Row],[Marks3]]</f>
        <v>135</v>
      </c>
    </row>
    <row r="6" spans="1:5" ht="17.399999999999999" customHeight="1" x14ac:dyDescent="0.3">
      <c r="B6">
        <f>B2+B3+B4+B5</f>
        <v>250</v>
      </c>
      <c r="C6">
        <f>C2+C3+C4+C5</f>
        <v>260</v>
      </c>
      <c r="D6">
        <f>D2+D3+D4+D5</f>
        <v>276</v>
      </c>
      <c r="E6">
        <f>E2+E3+E4+E5</f>
        <v>786</v>
      </c>
    </row>
    <row r="7" spans="1:5" ht="17.399999999999999" customHeight="1" x14ac:dyDescent="0.3">
      <c r="A7" t="s">
        <v>8</v>
      </c>
      <c r="B7">
        <f>SUM(B2:D2)</f>
        <v>263</v>
      </c>
    </row>
    <row r="8" spans="1:5" ht="17.399999999999999" customHeight="1" x14ac:dyDescent="0.3">
      <c r="A8" t="s">
        <v>9</v>
      </c>
      <c r="B8">
        <f>AVERAGE(B2:D2)</f>
        <v>87.666666666666671</v>
      </c>
    </row>
    <row r="9" spans="1:5" ht="17.399999999999999" customHeight="1" x14ac:dyDescent="0.3">
      <c r="A9" t="s">
        <v>10</v>
      </c>
      <c r="B9">
        <f>MAX(B2:B5)</f>
        <v>90</v>
      </c>
    </row>
    <row r="10" spans="1:5" ht="17.399999999999999" customHeight="1" x14ac:dyDescent="0.3">
      <c r="A10" t="s">
        <v>11</v>
      </c>
      <c r="B10">
        <f>MIN(B3:D3)</f>
        <v>65</v>
      </c>
    </row>
    <row r="11" spans="1:5" ht="17.399999999999999" customHeight="1" x14ac:dyDescent="0.3">
      <c r="A11" t="s">
        <v>12</v>
      </c>
      <c r="B11">
        <f>COUNT(B2:D5)</f>
        <v>12</v>
      </c>
    </row>
    <row r="12" spans="1:5" ht="17.399999999999999" customHeight="1" x14ac:dyDescent="0.3">
      <c r="A12" t="s">
        <v>12</v>
      </c>
      <c r="B12" t="str">
        <f>IF(B2&gt;=50,"pass")</f>
        <v>pass</v>
      </c>
    </row>
    <row r="13" spans="1:5" ht="17.399999999999999" customHeight="1" x14ac:dyDescent="0.3">
      <c r="A13" t="s">
        <v>13</v>
      </c>
      <c r="B13" s="1">
        <f>(B4/100)*100</f>
        <v>55.000000000000007</v>
      </c>
    </row>
    <row r="14" spans="1:5" ht="17.399999999999999" customHeight="1" x14ac:dyDescent="0.3">
      <c r="A14" t="s">
        <v>12</v>
      </c>
      <c r="B14" t="str">
        <f>IF(C2&gt;=90,"Good","Poor")</f>
        <v>Poor</v>
      </c>
    </row>
    <row r="15" spans="1:5" ht="17.399999999999999" customHeight="1" x14ac:dyDescent="0.3">
      <c r="A15" t="s">
        <v>12</v>
      </c>
      <c r="B15" t="str">
        <f>IF(B4&gt;=90,"Good","Poor")</f>
        <v>Poor</v>
      </c>
    </row>
    <row r="16" spans="1:5" ht="17.399999999999999" customHeight="1" x14ac:dyDescent="0.3">
      <c r="A16" t="s">
        <v>14</v>
      </c>
      <c r="B16">
        <f>ROUND(B4,2)</f>
        <v>55</v>
      </c>
    </row>
    <row r="17" spans="1:2" ht="17.399999999999999" customHeight="1" x14ac:dyDescent="0.3">
      <c r="A17" t="s">
        <v>14</v>
      </c>
      <c r="B17">
        <f>ROUND(12.4567,2)</f>
        <v>12.46</v>
      </c>
    </row>
    <row r="18" spans="1:2" ht="17.399999999999999" customHeight="1" x14ac:dyDescent="0.3">
      <c r="A18" t="s">
        <v>14</v>
      </c>
      <c r="B18">
        <f>ROUND(30.45667,3)</f>
        <v>30.457000000000001</v>
      </c>
    </row>
    <row r="19" spans="1:2" ht="17.399999999999999" customHeight="1" x14ac:dyDescent="0.3">
      <c r="A19" t="s">
        <v>15</v>
      </c>
      <c r="B19">
        <f>ROUNDUP(12.34,1)</f>
        <v>12.4</v>
      </c>
    </row>
    <row r="35" spans="1:11" ht="17.399999999999999" customHeight="1" x14ac:dyDescent="0.3">
      <c r="A35" t="s">
        <v>17</v>
      </c>
      <c r="B35" t="s">
        <v>0</v>
      </c>
      <c r="C35" t="s">
        <v>27</v>
      </c>
      <c r="D35" t="s">
        <v>1</v>
      </c>
      <c r="E35" t="s">
        <v>2</v>
      </c>
      <c r="F35" t="s">
        <v>3</v>
      </c>
      <c r="G35" t="s">
        <v>28</v>
      </c>
      <c r="H35" t="s">
        <v>34</v>
      </c>
      <c r="I35" t="s">
        <v>35</v>
      </c>
      <c r="J35" t="s">
        <v>36</v>
      </c>
      <c r="K35" t="s">
        <v>37</v>
      </c>
    </row>
    <row r="36" spans="1:11" ht="17.399999999999999" customHeight="1" x14ac:dyDescent="0.3">
      <c r="A36">
        <v>1</v>
      </c>
      <c r="B36" t="s">
        <v>18</v>
      </c>
      <c r="C36">
        <v>10</v>
      </c>
      <c r="D36">
        <v>45</v>
      </c>
      <c r="E36">
        <v>56</v>
      </c>
      <c r="F36">
        <v>67</v>
      </c>
      <c r="G36">
        <v>78</v>
      </c>
      <c r="H36">
        <v>10</v>
      </c>
      <c r="I36">
        <f t="shared" ref="I36:I50" si="0">F36+$H$36</f>
        <v>77</v>
      </c>
      <c r="J36" t="str">
        <f>IF(Table3[[#This Row],[Marks1]]&gt;50,"pass","fail")</f>
        <v>fail</v>
      </c>
      <c r="K36" t="str">
        <f>IF(Table3[[#This Row],[Marks1]]&gt;=90,"A", IF(Table3[[#This Row],[Marks1]]&gt;=80,"B",IF(Table3[[#This Row],[Marks1]]&gt;=70,"C","F")))</f>
        <v>F</v>
      </c>
    </row>
    <row r="37" spans="1:11" ht="17.399999999999999" customHeight="1" x14ac:dyDescent="0.3">
      <c r="A37">
        <v>2</v>
      </c>
      <c r="B37" t="s">
        <v>19</v>
      </c>
      <c r="C37">
        <v>10</v>
      </c>
      <c r="D37">
        <v>78</v>
      </c>
      <c r="E37">
        <v>69</v>
      </c>
      <c r="F37">
        <v>72</v>
      </c>
      <c r="G37">
        <v>85</v>
      </c>
      <c r="I37">
        <f t="shared" si="0"/>
        <v>82</v>
      </c>
      <c r="J37" t="str">
        <f>IF(Table3[[#This Row],[Marks1]]&gt;50,"pass","fail")</f>
        <v>pass</v>
      </c>
      <c r="K37" t="str">
        <f>IF(Table3[[#This Row],[Marks1]]&gt;=90,"A", IF(Table3[[#This Row],[Marks1]]&gt;=80,"B",IF(Table3[[#This Row],[Marks1]]&gt;=70,"C","F")))</f>
        <v>C</v>
      </c>
    </row>
    <row r="38" spans="1:11" ht="17.399999999999999" customHeight="1" x14ac:dyDescent="0.3">
      <c r="A38">
        <v>3</v>
      </c>
      <c r="B38" t="s">
        <v>20</v>
      </c>
      <c r="C38">
        <v>10</v>
      </c>
      <c r="D38">
        <v>34</v>
      </c>
      <c r="E38">
        <v>40</v>
      </c>
      <c r="F38">
        <v>38</v>
      </c>
      <c r="G38">
        <v>62</v>
      </c>
      <c r="I38">
        <f t="shared" si="0"/>
        <v>48</v>
      </c>
      <c r="J38" t="str">
        <f>IF(Table3[[#This Row],[Marks1]]&gt;50,"pass","fail")</f>
        <v>fail</v>
      </c>
      <c r="K38" t="str">
        <f>IF(Table3[[#This Row],[Marks1]]&gt;=90,"A", IF(Table3[[#This Row],[Marks1]]&gt;=80,"B",IF(Table3[[#This Row],[Marks1]]&gt;=70,"C","F")))</f>
        <v>F</v>
      </c>
    </row>
    <row r="39" spans="1:11" ht="17.399999999999999" customHeight="1" x14ac:dyDescent="0.3">
      <c r="A39">
        <v>4</v>
      </c>
      <c r="B39" t="s">
        <v>6</v>
      </c>
      <c r="C39">
        <v>10</v>
      </c>
      <c r="D39">
        <v>88</v>
      </c>
      <c r="E39">
        <v>91</v>
      </c>
      <c r="F39">
        <v>85</v>
      </c>
      <c r="G39">
        <v>92</v>
      </c>
      <c r="I39">
        <f t="shared" si="0"/>
        <v>95</v>
      </c>
      <c r="J39" t="str">
        <f>IF(Table3[[#This Row],[Marks1]]&gt;50,"pass","fail")</f>
        <v>pass</v>
      </c>
      <c r="K39" t="str">
        <f>IF(Table3[[#This Row],[Marks1]]&gt;=90,"A", IF(Table3[[#This Row],[Marks1]]&gt;=80,"B",IF(Table3[[#This Row],[Marks1]]&gt;=70,"C","F")))</f>
        <v>B</v>
      </c>
    </row>
    <row r="40" spans="1:11" ht="17.399999999999999" customHeight="1" x14ac:dyDescent="0.3">
      <c r="A40">
        <v>5</v>
      </c>
      <c r="B40" t="s">
        <v>21</v>
      </c>
      <c r="C40">
        <v>10</v>
      </c>
      <c r="D40">
        <v>55</v>
      </c>
      <c r="E40">
        <v>60</v>
      </c>
      <c r="F40">
        <v>58</v>
      </c>
      <c r="G40">
        <v>75</v>
      </c>
      <c r="I40">
        <f t="shared" si="0"/>
        <v>68</v>
      </c>
      <c r="J40" t="str">
        <f>IF(Table3[[#This Row],[Marks1]]&gt;50,"pass","fail")</f>
        <v>pass</v>
      </c>
      <c r="K40" t="str">
        <f>IF(Table3[[#This Row],[Marks1]]&gt;=90,"A", IF(Table3[[#This Row],[Marks1]]&gt;=80,"B",IF(Table3[[#This Row],[Marks1]]&gt;=70,"C","F")))</f>
        <v>F</v>
      </c>
    </row>
    <row r="41" spans="1:11" ht="17.399999999999999" customHeight="1" x14ac:dyDescent="0.3">
      <c r="A41">
        <v>6</v>
      </c>
      <c r="B41" t="s">
        <v>22</v>
      </c>
      <c r="C41">
        <v>10</v>
      </c>
      <c r="D41">
        <v>92</v>
      </c>
      <c r="E41">
        <v>89</v>
      </c>
      <c r="F41">
        <v>95</v>
      </c>
      <c r="G41">
        <v>96</v>
      </c>
      <c r="I41">
        <f t="shared" si="0"/>
        <v>105</v>
      </c>
      <c r="J41" t="str">
        <f>IF(Table3[[#This Row],[Marks1]]&gt;50,"pass","fail")</f>
        <v>pass</v>
      </c>
      <c r="K41" t="str">
        <f>IF(Table3[[#This Row],[Marks1]]&gt;=90,"A", IF(Table3[[#This Row],[Marks1]]&gt;=80,"B",IF(Table3[[#This Row],[Marks1]]&gt;=70,"C","F")))</f>
        <v>A</v>
      </c>
    </row>
    <row r="42" spans="1:11" ht="17.399999999999999" customHeight="1" x14ac:dyDescent="0.3">
      <c r="A42">
        <v>7</v>
      </c>
      <c r="B42" t="s">
        <v>23</v>
      </c>
      <c r="C42">
        <v>10</v>
      </c>
      <c r="D42">
        <v>41</v>
      </c>
      <c r="E42">
        <v>47</v>
      </c>
      <c r="F42">
        <v>50</v>
      </c>
      <c r="G42">
        <v>68</v>
      </c>
      <c r="I42">
        <f t="shared" si="0"/>
        <v>60</v>
      </c>
      <c r="J42" t="str">
        <f>IF(Table3[[#This Row],[Marks1]]&gt;50,"pass","fail")</f>
        <v>fail</v>
      </c>
      <c r="K42" t="str">
        <f>IF(Table3[[#This Row],[Marks1]]&gt;=90,"A", IF(Table3[[#This Row],[Marks1]]&gt;=80,"B",IF(Table3[[#This Row],[Marks1]]&gt;=70,"C","F")))</f>
        <v>F</v>
      </c>
    </row>
    <row r="43" spans="1:11" ht="17.399999999999999" customHeight="1" x14ac:dyDescent="0.3">
      <c r="A43">
        <v>8</v>
      </c>
      <c r="B43" t="s">
        <v>24</v>
      </c>
      <c r="C43">
        <v>10</v>
      </c>
      <c r="D43">
        <v>66</v>
      </c>
      <c r="E43">
        <v>70</v>
      </c>
      <c r="F43">
        <v>68</v>
      </c>
      <c r="G43">
        <v>81</v>
      </c>
      <c r="I43">
        <f t="shared" si="0"/>
        <v>78</v>
      </c>
      <c r="J43" t="str">
        <f>IF(Table3[[#This Row],[Marks1]]&gt;50,"pass","fail")</f>
        <v>pass</v>
      </c>
      <c r="K43" t="str">
        <f>IF(Table3[[#This Row],[Marks1]]&gt;=90,"A", IF(Table3[[#This Row],[Marks1]]&gt;=80,"B",IF(Table3[[#This Row],[Marks1]]&gt;=70,"C","F")))</f>
        <v>F</v>
      </c>
    </row>
    <row r="44" spans="1:11" ht="17.399999999999999" customHeight="1" x14ac:dyDescent="0.3">
      <c r="A44">
        <v>9</v>
      </c>
      <c r="B44" t="s">
        <v>25</v>
      </c>
      <c r="C44">
        <v>10</v>
      </c>
      <c r="D44">
        <v>29</v>
      </c>
      <c r="E44">
        <v>35</v>
      </c>
      <c r="F44">
        <v>32</v>
      </c>
      <c r="G44">
        <v>55</v>
      </c>
      <c r="I44">
        <f t="shared" si="0"/>
        <v>42</v>
      </c>
      <c r="J44" t="str">
        <f>IF(Table3[[#This Row],[Marks1]]&gt;50,"pass","fail")</f>
        <v>fail</v>
      </c>
      <c r="K44" t="str">
        <f>IF(Table3[[#This Row],[Marks1]]&gt;=90,"A", IF(Table3[[#This Row],[Marks1]]&gt;=80,"B",IF(Table3[[#This Row],[Marks1]]&gt;=70,"C","F")))</f>
        <v>F</v>
      </c>
    </row>
    <row r="45" spans="1:11" ht="17.399999999999999" customHeight="1" x14ac:dyDescent="0.3">
      <c r="A45">
        <v>10</v>
      </c>
      <c r="B45" t="s">
        <v>26</v>
      </c>
      <c r="C45">
        <v>10</v>
      </c>
      <c r="D45">
        <v>75</v>
      </c>
      <c r="E45">
        <v>80</v>
      </c>
      <c r="F45">
        <v>78</v>
      </c>
      <c r="G45">
        <v>88</v>
      </c>
      <c r="I45">
        <f t="shared" si="0"/>
        <v>88</v>
      </c>
      <c r="J45" t="str">
        <f>IF(Table3[[#This Row],[Marks1]]&gt;50,"pass","fail")</f>
        <v>pass</v>
      </c>
      <c r="K45" t="str">
        <f>IF(Table3[[#This Row],[Marks1]]&gt;=90,"A", IF(Table3[[#This Row],[Marks1]]&gt;=80,"B",IF(Table3[[#This Row],[Marks1]]&gt;=70,"C","F")))</f>
        <v>C</v>
      </c>
    </row>
    <row r="46" spans="1:11" ht="17.399999999999999" customHeight="1" x14ac:dyDescent="0.3">
      <c r="A46">
        <v>11</v>
      </c>
      <c r="B46" t="s">
        <v>29</v>
      </c>
      <c r="C46">
        <v>10</v>
      </c>
      <c r="D46">
        <v>64</v>
      </c>
      <c r="E46">
        <v>59</v>
      </c>
      <c r="F46">
        <v>61</v>
      </c>
      <c r="G46">
        <v>73</v>
      </c>
      <c r="I46">
        <f t="shared" si="0"/>
        <v>71</v>
      </c>
      <c r="J46" t="str">
        <f>IF(Table3[[#This Row],[Marks1]]&gt;50,"pass","fail")</f>
        <v>pass</v>
      </c>
      <c r="K46" t="str">
        <f>IF(Table3[[#This Row],[Marks1]]&gt;=90,"A", IF(Table3[[#This Row],[Marks1]]&gt;=80,"B",IF(Table3[[#This Row],[Marks1]]&gt;=70,"C","F")))</f>
        <v>F</v>
      </c>
    </row>
    <row r="47" spans="1:11" ht="17.399999999999999" customHeight="1" x14ac:dyDescent="0.3">
      <c r="A47">
        <v>12</v>
      </c>
      <c r="B47" t="s">
        <v>30</v>
      </c>
      <c r="C47">
        <v>10</v>
      </c>
      <c r="D47">
        <v>81</v>
      </c>
      <c r="E47">
        <v>85</v>
      </c>
      <c r="F47">
        <v>83</v>
      </c>
      <c r="G47">
        <v>90</v>
      </c>
      <c r="I47">
        <f t="shared" si="0"/>
        <v>93</v>
      </c>
      <c r="J47" t="str">
        <f>IF(Table3[[#This Row],[Marks1]]&gt;50,"pass","fail")</f>
        <v>pass</v>
      </c>
      <c r="K47" t="str">
        <f>IF(Table3[[#This Row],[Marks1]]&gt;=90,"A", IF(Table3[[#This Row],[Marks1]]&gt;=80,"B",IF(Table3[[#This Row],[Marks1]]&gt;=70,"C","F")))</f>
        <v>B</v>
      </c>
    </row>
    <row r="48" spans="1:11" ht="17.399999999999999" customHeight="1" x14ac:dyDescent="0.3">
      <c r="A48">
        <v>13</v>
      </c>
      <c r="B48" t="s">
        <v>31</v>
      </c>
      <c r="C48">
        <v>10</v>
      </c>
      <c r="D48">
        <v>37</v>
      </c>
      <c r="E48">
        <v>42</v>
      </c>
      <c r="F48">
        <v>40</v>
      </c>
      <c r="G48">
        <v>66</v>
      </c>
      <c r="I48">
        <f t="shared" si="0"/>
        <v>50</v>
      </c>
      <c r="J48" t="str">
        <f>IF(Table3[[#This Row],[Marks1]]&gt;50,"pass","fail")</f>
        <v>fail</v>
      </c>
      <c r="K48" t="str">
        <f>IF(Table3[[#This Row],[Marks1]]&gt;=90,"A", IF(Table3[[#This Row],[Marks1]]&gt;=80,"B",IF(Table3[[#This Row],[Marks1]]&gt;=70,"C","F")))</f>
        <v>F</v>
      </c>
    </row>
    <row r="49" spans="1:11" ht="17.399999999999999" customHeight="1" x14ac:dyDescent="0.3">
      <c r="A49">
        <v>14</v>
      </c>
      <c r="B49" t="s">
        <v>32</v>
      </c>
      <c r="C49">
        <v>10</v>
      </c>
      <c r="D49">
        <v>90</v>
      </c>
      <c r="E49">
        <v>94</v>
      </c>
      <c r="F49">
        <v>92</v>
      </c>
      <c r="G49">
        <v>98</v>
      </c>
      <c r="I49">
        <f t="shared" si="0"/>
        <v>102</v>
      </c>
      <c r="J49" t="str">
        <f>IF(Table3[[#This Row],[Marks1]]&gt;50,"pass","fail")</f>
        <v>pass</v>
      </c>
      <c r="K49" t="str">
        <f>IF(Table3[[#This Row],[Marks1]]&gt;=90,"A", IF(Table3[[#This Row],[Marks1]]&gt;=80,"B",IF(Table3[[#This Row],[Marks1]]&gt;=70,"C","F")))</f>
        <v>A</v>
      </c>
    </row>
    <row r="50" spans="1:11" ht="17.399999999999999" customHeight="1" x14ac:dyDescent="0.3">
      <c r="A50">
        <v>15</v>
      </c>
      <c r="B50" t="s">
        <v>33</v>
      </c>
      <c r="C50">
        <v>10</v>
      </c>
      <c r="D50">
        <v>53</v>
      </c>
      <c r="E50">
        <v>49</v>
      </c>
      <c r="F50">
        <v>55</v>
      </c>
      <c r="G50">
        <v>71</v>
      </c>
      <c r="I50">
        <f t="shared" si="0"/>
        <v>65</v>
      </c>
      <c r="J50" t="str">
        <f>IF(Table3[[#This Row],[Marks1]]&gt;50,"pass","fail")</f>
        <v>pass</v>
      </c>
      <c r="K50" t="str">
        <f>IF(Table3[[#This Row],[Marks1]]&gt;=90,"A", IF(Table3[[#This Row],[Marks1]]&gt;=80,"B",IF(Table3[[#This Row],[Marks1]]&gt;=70,"C","F")))</f>
        <v>F</v>
      </c>
    </row>
    <row r="51" spans="1:11" ht="17.399999999999999" customHeight="1" x14ac:dyDescent="0.3">
      <c r="D51">
        <f>SUM(D36:D50)</f>
        <v>928</v>
      </c>
      <c r="E51">
        <f>SUM(E36:E50)</f>
        <v>966</v>
      </c>
      <c r="F51">
        <f>SUM(F36:F50)</f>
        <v>974</v>
      </c>
      <c r="G51">
        <f>SUM(G36:G50)</f>
        <v>1178</v>
      </c>
      <c r="I51">
        <f>SUM(I36:I50)</f>
        <v>1124</v>
      </c>
      <c r="J51" t="str">
        <f>IF(Table3[[#This Row],[Marks1]]&gt;50,"pass","fail")</f>
        <v>pass</v>
      </c>
      <c r="K51" t="str">
        <f>IF(Table3[[#This Row],[Marks1]]&gt;=90,"A", IF(Table3[[#This Row],[Marks1]]&gt;=80,"B",IF(Table3[[#This Row],[Marks1]]&gt;=70,"C","F")))</f>
        <v>A</v>
      </c>
    </row>
    <row r="52" spans="1:11" ht="17.399999999999999" customHeight="1" x14ac:dyDescent="0.3">
      <c r="D52">
        <f ca="1">D44:E52</f>
        <v>0</v>
      </c>
      <c r="J52" s="2"/>
      <c r="K52" s="2"/>
    </row>
    <row r="60" spans="1:11" ht="17.399999999999999" customHeight="1" x14ac:dyDescent="0.3">
      <c r="A60" t="s">
        <v>45</v>
      </c>
      <c r="B60" t="s">
        <v>38</v>
      </c>
      <c r="C60" t="s">
        <v>39</v>
      </c>
    </row>
    <row r="61" spans="1:11" ht="17.399999999999999" customHeight="1" x14ac:dyDescent="0.3">
      <c r="A61" t="s">
        <v>40</v>
      </c>
      <c r="B61">
        <v>55</v>
      </c>
      <c r="C61">
        <v>65</v>
      </c>
    </row>
    <row r="62" spans="1:11" ht="17.399999999999999" customHeight="1" x14ac:dyDescent="0.3">
      <c r="A62" t="s">
        <v>41</v>
      </c>
      <c r="B62">
        <v>40</v>
      </c>
      <c r="C62">
        <v>70</v>
      </c>
    </row>
    <row r="63" spans="1:11" ht="17.399999999999999" customHeight="1" x14ac:dyDescent="0.3">
      <c r="A63" t="s">
        <v>42</v>
      </c>
      <c r="B63">
        <v>60</v>
      </c>
      <c r="C63">
        <v>55</v>
      </c>
    </row>
    <row r="64" spans="1:11" ht="17.399999999999999" customHeight="1" x14ac:dyDescent="0.3">
      <c r="A64" t="s">
        <v>43</v>
      </c>
      <c r="B64">
        <v>75</v>
      </c>
      <c r="C64">
        <v>80</v>
      </c>
    </row>
    <row r="65" spans="1:3" ht="17.399999999999999" customHeight="1" x14ac:dyDescent="0.3">
      <c r="A65" t="s">
        <v>44</v>
      </c>
      <c r="B65">
        <v>50</v>
      </c>
      <c r="C65">
        <v>90</v>
      </c>
    </row>
    <row r="67" spans="1:3" ht="17.399999999999999" customHeight="1" x14ac:dyDescent="0.3">
      <c r="B67">
        <f>COUNTIFS(B61:B65, "&gt;50", C61:C65, "&gt;60")</f>
        <v>2</v>
      </c>
    </row>
    <row r="70" spans="1:3" ht="17.399999999999999" customHeight="1" x14ac:dyDescent="0.3">
      <c r="A70" t="s">
        <v>46</v>
      </c>
      <c r="B70" t="s">
        <v>47</v>
      </c>
      <c r="C70" t="s">
        <v>51</v>
      </c>
    </row>
    <row r="71" spans="1:3" ht="17.399999999999999" customHeight="1" x14ac:dyDescent="0.3">
      <c r="A71">
        <v>101</v>
      </c>
      <c r="B71" t="s">
        <v>48</v>
      </c>
      <c r="C71">
        <v>1200</v>
      </c>
    </row>
    <row r="72" spans="1:3" ht="17.399999999999999" customHeight="1" x14ac:dyDescent="0.3">
      <c r="A72">
        <v>102</v>
      </c>
      <c r="B72" t="s">
        <v>49</v>
      </c>
      <c r="C72">
        <v>800</v>
      </c>
    </row>
    <row r="73" spans="1:3" ht="17.399999999999999" customHeight="1" x14ac:dyDescent="0.3">
      <c r="A73">
        <v>103</v>
      </c>
      <c r="B73" t="s">
        <v>48</v>
      </c>
      <c r="C73">
        <v>450</v>
      </c>
    </row>
    <row r="74" spans="1:3" ht="17.399999999999999" customHeight="1" x14ac:dyDescent="0.3">
      <c r="A74">
        <v>104</v>
      </c>
      <c r="B74" t="s">
        <v>48</v>
      </c>
      <c r="C74">
        <v>2000</v>
      </c>
    </row>
    <row r="75" spans="1:3" ht="17.399999999999999" customHeight="1" x14ac:dyDescent="0.3">
      <c r="A75">
        <v>105</v>
      </c>
      <c r="B75" t="s">
        <v>50</v>
      </c>
      <c r="C75">
        <v>1300</v>
      </c>
    </row>
    <row r="77" spans="1:3" ht="17.399999999999999" customHeight="1" x14ac:dyDescent="0.3">
      <c r="B77">
        <f>SUMIFS(C71:C75, Table4[City], "New York", Table4[Sales], "&gt;500")</f>
        <v>3200</v>
      </c>
    </row>
  </sheetData>
  <dataValidations count="2">
    <dataValidation type="whole" allowBlank="1" showInputMessage="1" showErrorMessage="1" sqref="G34" xr:uid="{E44B6D4F-05E4-48A9-B9A8-CCC712A92684}">
      <formula1>10</formula1>
      <formula2>20</formula2>
    </dataValidation>
    <dataValidation allowBlank="1" showInputMessage="1" showErrorMessage="1" promptTitle="numbers" prompt="numbers between 10 or 20" sqref="F57:F58" xr:uid="{8888A294-3157-4A36-B893-924A88BB0427}"/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AB43-9F66-4EB9-A444-62613D0120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371B-6742-40AC-8C94-68C01F6505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2026-01-27T08:25:29Z</dcterms:created>
  <dcterms:modified xsi:type="dcterms:W3CDTF">2026-02-09T04:20:34Z</dcterms:modified>
</cp:coreProperties>
</file>