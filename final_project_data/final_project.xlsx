
<file path=[Content_Types].xml><?xml version="1.0" encoding="utf-8"?>
<Types xmlns="http://schemas.openxmlformats.org/package/2006/content-types">
  <Default Extension="bin" ContentType="application/vnd.openxmlformats-officedocument.spreadsheetml.printerSettings"/>
  <Default Extension="png" ContentType="image/png"/>
  <Default Extension="svg" ContentType="image/sv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5"/>
  <workbookPr hidePivotFieldList="1" defaultThemeVersion="166925"/>
  <mc:AlternateContent xmlns:mc="http://schemas.openxmlformats.org/markup-compatibility/2006">
    <mc:Choice Requires="x15">
      <x15ac:absPath xmlns:x15ac="http://schemas.microsoft.com/office/spreadsheetml/2010/11/ac" url="D:\Git_alldata\Excel\final_project_data\"/>
    </mc:Choice>
  </mc:AlternateContent>
  <xr:revisionPtr revIDLastSave="0" documentId="13_ncr:1_{9B045182-2F7B-4480-81D2-3E9CB882049E}" xr6:coauthVersionLast="36" xr6:coauthVersionMax="36" xr10:uidLastSave="{00000000-0000-0000-0000-000000000000}"/>
  <bookViews>
    <workbookView xWindow="0" yWindow="0" windowWidth="23040" windowHeight="8940" activeTab="4" xr2:uid="{D30419F5-293F-444D-A21D-A04983EB7473}"/>
  </bookViews>
  <sheets>
    <sheet name="Linear Regression" sheetId="2" r:id="rId1"/>
    <sheet name="Dataset" sheetId="1" r:id="rId2"/>
    <sheet name="High Value Customer" sheetId="6" r:id="rId3"/>
    <sheet name="Pivot table and chart" sheetId="5" r:id="rId4"/>
    <sheet name="Dashboard" sheetId="8" r:id="rId5"/>
  </sheets>
  <definedNames>
    <definedName name="NativeTimeline_Date">#N/A</definedName>
    <definedName name="Slicer_Region">#N/A</definedName>
  </definedNames>
  <calcPr calcId="191029"/>
  <pivotCaches>
    <pivotCache cacheId="0" r:id="rId6"/>
    <pivotCache cacheId="1"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O11" i="1" l="1"/>
  <c r="V2" i="1" l="1"/>
  <c r="AB3" i="1" l="1"/>
  <c r="AB4" i="1"/>
  <c r="AB5" i="1"/>
  <c r="AB6" i="1"/>
  <c r="AB7" i="1"/>
  <c r="AB8"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201" i="1"/>
  <c r="AB202" i="1"/>
  <c r="AB203" i="1"/>
  <c r="AB204" i="1"/>
  <c r="AB205" i="1"/>
  <c r="AB206" i="1"/>
  <c r="AB207" i="1"/>
  <c r="AB208" i="1"/>
  <c r="AB209" i="1"/>
  <c r="AB210" i="1"/>
  <c r="AB211" i="1"/>
  <c r="AB212" i="1"/>
  <c r="AB213" i="1"/>
  <c r="AB214" i="1"/>
  <c r="AB215" i="1"/>
  <c r="AB216" i="1"/>
  <c r="AB217" i="1"/>
  <c r="AB218" i="1"/>
  <c r="AB219" i="1"/>
  <c r="AB220" i="1"/>
  <c r="AB221" i="1"/>
  <c r="AB222" i="1"/>
  <c r="AB223" i="1"/>
  <c r="AB224" i="1"/>
  <c r="AB225" i="1"/>
  <c r="AB226" i="1"/>
  <c r="AB227" i="1"/>
  <c r="AB228" i="1"/>
  <c r="AB229" i="1"/>
  <c r="AB230" i="1"/>
  <c r="AB231" i="1"/>
  <c r="AB232" i="1"/>
  <c r="AB233" i="1"/>
  <c r="AB234" i="1"/>
  <c r="AB235" i="1"/>
  <c r="AB236" i="1"/>
  <c r="AB237" i="1"/>
  <c r="AB238" i="1"/>
  <c r="AB239" i="1"/>
  <c r="AB240" i="1"/>
  <c r="AB241" i="1"/>
  <c r="AB242" i="1"/>
  <c r="AB243" i="1"/>
  <c r="AB244" i="1"/>
  <c r="AB245" i="1"/>
  <c r="AB246" i="1"/>
  <c r="AB247" i="1"/>
  <c r="AB248" i="1"/>
  <c r="AB249" i="1"/>
  <c r="AB250" i="1"/>
  <c r="AB251" i="1"/>
  <c r="AB2" i="1"/>
  <c r="AA3" i="1"/>
  <c r="AA4" i="1"/>
  <c r="AA5" i="1"/>
  <c r="AA6" i="1"/>
  <c r="AA7" i="1"/>
  <c r="AA8" i="1"/>
  <c r="AA9" i="1"/>
  <c r="AA10" i="1"/>
  <c r="AA11" i="1"/>
  <c r="AA12" i="1"/>
  <c r="AA13" i="1"/>
  <c r="AA14" i="1"/>
  <c r="AA15" i="1"/>
  <c r="AA16" i="1"/>
  <c r="AA17" i="1"/>
  <c r="AA18" i="1"/>
  <c r="AA19" i="1"/>
  <c r="AA20" i="1"/>
  <c r="AA21" i="1"/>
  <c r="AA22" i="1"/>
  <c r="AA23" i="1"/>
  <c r="AA24" i="1"/>
  <c r="AA25" i="1"/>
  <c r="AA2" i="1"/>
  <c r="W2" i="1" l="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U2" i="1" l="1"/>
  <c r="T2" i="1"/>
  <c r="S2" i="1"/>
  <c r="C47" i="6"/>
  <c r="B3" i="6"/>
  <c r="C3" i="6" s="1"/>
  <c r="B4" i="6"/>
  <c r="C4" i="6" s="1"/>
  <c r="B5" i="6"/>
  <c r="C5" i="6" s="1"/>
  <c r="B6" i="6"/>
  <c r="C6" i="6" s="1"/>
  <c r="B7" i="6"/>
  <c r="C7" i="6" s="1"/>
  <c r="B8" i="6"/>
  <c r="C8" i="6" s="1"/>
  <c r="B9" i="6"/>
  <c r="C9" i="6" s="1"/>
  <c r="B10" i="6"/>
  <c r="C10" i="6" s="1"/>
  <c r="B11" i="6"/>
  <c r="C11" i="6" s="1"/>
  <c r="B12" i="6"/>
  <c r="C12" i="6" s="1"/>
  <c r="B13" i="6"/>
  <c r="C13" i="6" s="1"/>
  <c r="B14" i="6"/>
  <c r="C14" i="6" s="1"/>
  <c r="B15" i="6"/>
  <c r="C15" i="6" s="1"/>
  <c r="B16" i="6"/>
  <c r="C16" i="6" s="1"/>
  <c r="B17" i="6"/>
  <c r="C17" i="6" s="1"/>
  <c r="B18" i="6"/>
  <c r="C18" i="6" s="1"/>
  <c r="B19" i="6"/>
  <c r="C19" i="6" s="1"/>
  <c r="B20" i="6"/>
  <c r="C20" i="6" s="1"/>
  <c r="B21" i="6"/>
  <c r="C21" i="6" s="1"/>
  <c r="B22" i="6"/>
  <c r="C22" i="6" s="1"/>
  <c r="B23" i="6"/>
  <c r="C23" i="6" s="1"/>
  <c r="B24" i="6"/>
  <c r="C24" i="6" s="1"/>
  <c r="B25" i="6"/>
  <c r="C25" i="6" s="1"/>
  <c r="B26" i="6"/>
  <c r="C26" i="6" s="1"/>
  <c r="B27" i="6"/>
  <c r="C27" i="6" s="1"/>
  <c r="B28" i="6"/>
  <c r="C28" i="6" s="1"/>
  <c r="B29" i="6"/>
  <c r="C29" i="6" s="1"/>
  <c r="B30" i="6"/>
  <c r="C30" i="6" s="1"/>
  <c r="B31" i="6"/>
  <c r="C31" i="6" s="1"/>
  <c r="B32" i="6"/>
  <c r="C32" i="6" s="1"/>
  <c r="B33" i="6"/>
  <c r="C33" i="6" s="1"/>
  <c r="B34" i="6"/>
  <c r="C34" i="6" s="1"/>
  <c r="B35" i="6"/>
  <c r="C35" i="6" s="1"/>
  <c r="B36" i="6"/>
  <c r="C36" i="6" s="1"/>
  <c r="B37" i="6"/>
  <c r="C37" i="6" s="1"/>
  <c r="B38" i="6"/>
  <c r="C38" i="6" s="1"/>
  <c r="B39" i="6"/>
  <c r="C39" i="6" s="1"/>
  <c r="B40" i="6"/>
  <c r="C40" i="6" s="1"/>
  <c r="B41" i="6"/>
  <c r="C41" i="6" s="1"/>
  <c r="B42" i="6"/>
  <c r="C42" i="6" s="1"/>
  <c r="B43" i="6"/>
  <c r="C43" i="6" s="1"/>
  <c r="B44" i="6"/>
  <c r="C44" i="6" s="1"/>
  <c r="B45" i="6"/>
  <c r="C45" i="6" s="1"/>
  <c r="B46" i="6"/>
  <c r="C46" i="6" s="1"/>
  <c r="B47" i="6"/>
  <c r="B48" i="6"/>
  <c r="C48" i="6" s="1"/>
  <c r="B49" i="6"/>
  <c r="C49" i="6" s="1"/>
  <c r="B50" i="6"/>
  <c r="C50" i="6" s="1"/>
  <c r="B51" i="6"/>
  <c r="C51" i="6" s="1"/>
  <c r="B2" i="6"/>
  <c r="C2" i="6" s="1"/>
  <c r="R12" i="1" l="1"/>
  <c r="R4" i="1"/>
  <c r="O2" i="1"/>
  <c r="O6" i="1"/>
</calcChain>
</file>

<file path=xl/sharedStrings.xml><?xml version="1.0" encoding="utf-8"?>
<sst xmlns="http://schemas.openxmlformats.org/spreadsheetml/2006/main" count="2487" uniqueCount="452">
  <si>
    <t>Transaction_ID</t>
  </si>
  <si>
    <t>Date</t>
  </si>
  <si>
    <t>Customer_ID</t>
  </si>
  <si>
    <t>Customer_Name</t>
  </si>
  <si>
    <t>Product_ID</t>
  </si>
  <si>
    <t>Product_Name</t>
  </si>
  <si>
    <t>Category</t>
  </si>
  <si>
    <t>Quantity</t>
  </si>
  <si>
    <t>Unit_Price</t>
  </si>
  <si>
    <t>Payment_Method</t>
  </si>
  <si>
    <t>Region</t>
  </si>
  <si>
    <t>Customer_Segment</t>
  </si>
  <si>
    <t>Customer_Since</t>
  </si>
  <si>
    <t>Total_Amount</t>
  </si>
  <si>
    <t>TRX0155</t>
  </si>
  <si>
    <t>CUST023</t>
  </si>
  <si>
    <t>Paul Baker</t>
  </si>
  <si>
    <t>P009</t>
  </si>
  <si>
    <t>Monitor</t>
  </si>
  <si>
    <t>Electronics</t>
  </si>
  <si>
    <t>Cash</t>
  </si>
  <si>
    <t>Central</t>
  </si>
  <si>
    <t>Basic</t>
  </si>
  <si>
    <t>TRX0023</t>
  </si>
  <si>
    <t>CUST013</t>
  </si>
  <si>
    <t>Joseph Jackson</t>
  </si>
  <si>
    <t>Credit Card</t>
  </si>
  <si>
    <t>Premium</t>
  </si>
  <si>
    <t>TRX0139</t>
  </si>
  <si>
    <t>CUST021</t>
  </si>
  <si>
    <t>Kevin Scott</t>
  </si>
  <si>
    <t>P005</t>
  </si>
  <si>
    <t>Blender</t>
  </si>
  <si>
    <t>Appliances</t>
  </si>
  <si>
    <t>PayPal</t>
  </si>
  <si>
    <t>South</t>
  </si>
  <si>
    <t>Standard</t>
  </si>
  <si>
    <t>TRX0043</t>
  </si>
  <si>
    <t>CUST046</t>
  </si>
  <si>
    <t>Kathleen Bennett</t>
  </si>
  <si>
    <t>North</t>
  </si>
  <si>
    <t>TRX0212</t>
  </si>
  <si>
    <t>CUST003</t>
  </si>
  <si>
    <t>Michael Brown</t>
  </si>
  <si>
    <t>P008</t>
  </si>
  <si>
    <t>Bookshelf</t>
  </si>
  <si>
    <t>Furniture</t>
  </si>
  <si>
    <t>TRX0092</t>
  </si>
  <si>
    <t>CUST024</t>
  </si>
  <si>
    <t>Dorothy Nelson</t>
  </si>
  <si>
    <t>West</t>
  </si>
  <si>
    <t>TRX0193</t>
  </si>
  <si>
    <t>P003</t>
  </si>
  <si>
    <t>Headphones</t>
  </si>
  <si>
    <t>TRX0240</t>
  </si>
  <si>
    <t>CUST017</t>
  </si>
  <si>
    <t>Charles Allen</t>
  </si>
  <si>
    <t>Debit Card</t>
  </si>
  <si>
    <t>TRX0135</t>
  </si>
  <si>
    <t>CUST009</t>
  </si>
  <si>
    <t>Robert Thomas</t>
  </si>
  <si>
    <t>P001</t>
  </si>
  <si>
    <t>Laptop</t>
  </si>
  <si>
    <t>East</t>
  </si>
  <si>
    <t>TRX0185</t>
  </si>
  <si>
    <t>CUST026</t>
  </si>
  <si>
    <t>Karen Hill</t>
  </si>
  <si>
    <t>TRX0138</t>
  </si>
  <si>
    <t>CUST022</t>
  </si>
  <si>
    <t>Susan Green</t>
  </si>
  <si>
    <t>TRX0209</t>
  </si>
  <si>
    <t>TRX0246</t>
  </si>
  <si>
    <t>CUST041</t>
  </si>
  <si>
    <t>Peter Richardson</t>
  </si>
  <si>
    <t>TRX0067</t>
  </si>
  <si>
    <t>CUST043</t>
  </si>
  <si>
    <t>Dennis Gray</t>
  </si>
  <si>
    <t>TRX0191</t>
  </si>
  <si>
    <t>CUST038</t>
  </si>
  <si>
    <t>Michelle Rogers</t>
  </si>
  <si>
    <t>P002</t>
  </si>
  <si>
    <t>Smartphone</t>
  </si>
  <si>
    <t>TRX0230</t>
  </si>
  <si>
    <t>CUST027</t>
  </si>
  <si>
    <t>George Adams</t>
  </si>
  <si>
    <t>TRX0049</t>
  </si>
  <si>
    <t>CUST025</t>
  </si>
  <si>
    <t>Mark Carter</t>
  </si>
  <si>
    <t>TRX0134</t>
  </si>
  <si>
    <t>CUST010</t>
  </si>
  <si>
    <t>Maria Garcia</t>
  </si>
  <si>
    <t>TRX0122</t>
  </si>
  <si>
    <t>TRX0222</t>
  </si>
  <si>
    <t>CUST048</t>
  </si>
  <si>
    <t>Virginia Sanders</t>
  </si>
  <si>
    <t>TRX0231</t>
  </si>
  <si>
    <t>CUST018</t>
  </si>
  <si>
    <t>Barbara Young</t>
  </si>
  <si>
    <t>TRX0239</t>
  </si>
  <si>
    <t>CUST012</t>
  </si>
  <si>
    <t>Patricia Moore</t>
  </si>
  <si>
    <t>TRX0204</t>
  </si>
  <si>
    <t>CUST044</t>
  </si>
  <si>
    <t>Cynthia Price</t>
  </si>
  <si>
    <t>TRX0242</t>
  </si>
  <si>
    <t>P007</t>
  </si>
  <si>
    <t>Desk</t>
  </si>
  <si>
    <t>TRX0071</t>
  </si>
  <si>
    <t>CUST036</t>
  </si>
  <si>
    <t>Nancy Collins</t>
  </si>
  <si>
    <t>TRX0040</t>
  </si>
  <si>
    <t>TRX0235</t>
  </si>
  <si>
    <t>CUST014</t>
  </si>
  <si>
    <t>Linda Martin</t>
  </si>
  <si>
    <t>P004</t>
  </si>
  <si>
    <t>Coffee Maker</t>
  </si>
  <si>
    <t>TRX0004</t>
  </si>
  <si>
    <t>P010</t>
  </si>
  <si>
    <t>Keyboard</t>
  </si>
  <si>
    <t>TRX0063</t>
  </si>
  <si>
    <t>CUST030</t>
  </si>
  <si>
    <t>Helen Roberts</t>
  </si>
  <si>
    <t>TRX0241</t>
  </si>
  <si>
    <t>CUST029</t>
  </si>
  <si>
    <t>Edward Mitchell</t>
  </si>
  <si>
    <t>TRX0029</t>
  </si>
  <si>
    <t>P006</t>
  </si>
  <si>
    <t>Office Chair</t>
  </si>
  <si>
    <t>TRX0194</t>
  </si>
  <si>
    <t>CUST006</t>
  </si>
  <si>
    <t>Lisa Anderson</t>
  </si>
  <si>
    <t>TRX0130</t>
  </si>
  <si>
    <t>CUST002</t>
  </si>
  <si>
    <t>Emma Wilson</t>
  </si>
  <si>
    <t>TRX0041</t>
  </si>
  <si>
    <t>TRX0232</t>
  </si>
  <si>
    <t>TRX0021</t>
  </si>
  <si>
    <t>TRX0245</t>
  </si>
  <si>
    <t>CUST031</t>
  </si>
  <si>
    <t>Steven Turner</t>
  </si>
  <si>
    <t>TRX0015</t>
  </si>
  <si>
    <t>CUST008</t>
  </si>
  <si>
    <t>Jennifer Taylor</t>
  </si>
  <si>
    <t>TRX0202</t>
  </si>
  <si>
    <t>CUST035</t>
  </si>
  <si>
    <t>Harry Morgan</t>
  </si>
  <si>
    <t>TRX0042</t>
  </si>
  <si>
    <t>CUST019</t>
  </si>
  <si>
    <t>Daniel King</t>
  </si>
  <si>
    <t>TRX0128</t>
  </si>
  <si>
    <t>CUST040</t>
  </si>
  <si>
    <t>Sharon Butler</t>
  </si>
  <si>
    <t>TRX0117</t>
  </si>
  <si>
    <t>TRX0208</t>
  </si>
  <si>
    <t>CUST004</t>
  </si>
  <si>
    <t>Sarah Davis</t>
  </si>
  <si>
    <t>TRX0234</t>
  </si>
  <si>
    <t>TRX0121</t>
  </si>
  <si>
    <t>CUST028</t>
  </si>
  <si>
    <t>Betty Campbell</t>
  </si>
  <si>
    <t>TRX0220</t>
  </si>
  <si>
    <t>TRX0093</t>
  </si>
  <si>
    <t>CUST050</t>
  </si>
  <si>
    <t>Julie Foster</t>
  </si>
  <si>
    <t>TRX0088</t>
  </si>
  <si>
    <t>TRX0115</t>
  </si>
  <si>
    <t>TRX0154</t>
  </si>
  <si>
    <t>TRX0044</t>
  </si>
  <si>
    <t>TRX0061</t>
  </si>
  <si>
    <t>TRX0150</t>
  </si>
  <si>
    <t>TRX0025</t>
  </si>
  <si>
    <t>CUST049</t>
  </si>
  <si>
    <t>Raymond Ross</t>
  </si>
  <si>
    <t>TRX0078</t>
  </si>
  <si>
    <t>TRX0007</t>
  </si>
  <si>
    <t>TRX0184</t>
  </si>
  <si>
    <t>TRX0104</t>
  </si>
  <si>
    <t>TRX0127</t>
  </si>
  <si>
    <t>TRX0096</t>
  </si>
  <si>
    <t>TRX0192</t>
  </si>
  <si>
    <t>TRX0052</t>
  </si>
  <si>
    <t>TRX0070</t>
  </si>
  <si>
    <t>CUST007</t>
  </si>
  <si>
    <t>David Martinez</t>
  </si>
  <si>
    <t>TRX0086</t>
  </si>
  <si>
    <t>CUST020</t>
  </si>
  <si>
    <t>Margaret Wright</t>
  </si>
  <si>
    <t>TRX0113</t>
  </si>
  <si>
    <t>TRX0114</t>
  </si>
  <si>
    <t>TRX0136</t>
  </si>
  <si>
    <t>TRX0018</t>
  </si>
  <si>
    <t>TRX0141</t>
  </si>
  <si>
    <t>CUST033</t>
  </si>
  <si>
    <t>Frank Torres</t>
  </si>
  <si>
    <t>TRX0097</t>
  </si>
  <si>
    <t>TRX0169</t>
  </si>
  <si>
    <t>CUST047</t>
  </si>
  <si>
    <t>Gerald Murphy</t>
  </si>
  <si>
    <t>TRX0216</t>
  </si>
  <si>
    <t>TRX0131</t>
  </si>
  <si>
    <t>TRX0162</t>
  </si>
  <si>
    <t>TRX0244</t>
  </si>
  <si>
    <t>TRX0006</t>
  </si>
  <si>
    <t>TRX0215</t>
  </si>
  <si>
    <t>TRX0080</t>
  </si>
  <si>
    <t>TRX0228</t>
  </si>
  <si>
    <t>TRX0157</t>
  </si>
  <si>
    <t>TRX0002</t>
  </si>
  <si>
    <t>TRX0217</t>
  </si>
  <si>
    <t>TRX0249</t>
  </si>
  <si>
    <t>TRX0065</t>
  </si>
  <si>
    <t>CUST016</t>
  </si>
  <si>
    <t>Elizabeth Hall</t>
  </si>
  <si>
    <t>TRX0176</t>
  </si>
  <si>
    <t>TRX0101</t>
  </si>
  <si>
    <t>TRX0205</t>
  </si>
  <si>
    <t>TRX0020</t>
  </si>
  <si>
    <t>TRX0075</t>
  </si>
  <si>
    <t>TRX0098</t>
  </si>
  <si>
    <t>TRX0247</t>
  </si>
  <si>
    <t>TRX0027</t>
  </si>
  <si>
    <t>TRX0140</t>
  </si>
  <si>
    <t>TRX0132</t>
  </si>
  <si>
    <t>TRX0031</t>
  </si>
  <si>
    <t>TRX0236</t>
  </si>
  <si>
    <t>TRX0001</t>
  </si>
  <si>
    <t>CUST039</t>
  </si>
  <si>
    <t>Lawrence Reed</t>
  </si>
  <si>
    <t>TRX0037</t>
  </si>
  <si>
    <t>TRX0058</t>
  </si>
  <si>
    <t>TRX0170</t>
  </si>
  <si>
    <t>CUST034</t>
  </si>
  <si>
    <t>Carol Evans</t>
  </si>
  <si>
    <t>TRX0248</t>
  </si>
  <si>
    <t>CUST032</t>
  </si>
  <si>
    <t>Sandra Phillips</t>
  </si>
  <si>
    <t>TRX0099</t>
  </si>
  <si>
    <t>TRX0074</t>
  </si>
  <si>
    <t>TRX0225</t>
  </si>
  <si>
    <t>TRX0100</t>
  </si>
  <si>
    <t>TRX0142</t>
  </si>
  <si>
    <t>TRX0112</t>
  </si>
  <si>
    <t>TRX0161</t>
  </si>
  <si>
    <t>TRX0108</t>
  </si>
  <si>
    <t>TRX0211</t>
  </si>
  <si>
    <t>TRX0005</t>
  </si>
  <si>
    <t>CUST042</t>
  </si>
  <si>
    <t>Ruth Brooks</t>
  </si>
  <si>
    <t>TRX0195</t>
  </si>
  <si>
    <t>TRX0054</t>
  </si>
  <si>
    <t>TRX0077</t>
  </si>
  <si>
    <t>TRX0111</t>
  </si>
  <si>
    <t>CUST011</t>
  </si>
  <si>
    <t>William White</t>
  </si>
  <si>
    <t>TRX0123</t>
  </si>
  <si>
    <t>TRX0177</t>
  </si>
  <si>
    <t>TRX0119</t>
  </si>
  <si>
    <t>TRX0181</t>
  </si>
  <si>
    <t>TRX0129</t>
  </si>
  <si>
    <t>CUST015</t>
  </si>
  <si>
    <t>Richard Lee</t>
  </si>
  <si>
    <t>TRX0174</t>
  </si>
  <si>
    <t>TRX0146</t>
  </si>
  <si>
    <t>TRX0203</t>
  </si>
  <si>
    <t>TRX0055</t>
  </si>
  <si>
    <t>TRX0218</t>
  </si>
  <si>
    <t>TRX0085</t>
  </si>
  <si>
    <t>TRX0158</t>
  </si>
  <si>
    <t>TRX0173</t>
  </si>
  <si>
    <t>TRX0034</t>
  </si>
  <si>
    <t>TRX0189</t>
  </si>
  <si>
    <t>TRX0190</t>
  </si>
  <si>
    <t>TRX0079</t>
  </si>
  <si>
    <t>TRX0095</t>
  </si>
  <si>
    <t>TRX0009</t>
  </si>
  <si>
    <t>TRX0167</t>
  </si>
  <si>
    <t>TRX0153</t>
  </si>
  <si>
    <t>TRX0057</t>
  </si>
  <si>
    <t>TRX0017</t>
  </si>
  <si>
    <t>TRX0060</t>
  </si>
  <si>
    <t>TRX0109</t>
  </si>
  <si>
    <t>TRX0090</t>
  </si>
  <si>
    <t>TRX0035</t>
  </si>
  <si>
    <t>TRX0172</t>
  </si>
  <si>
    <t>TRX0076</t>
  </si>
  <si>
    <t>TRX0210</t>
  </si>
  <si>
    <t>TRX0149</t>
  </si>
  <si>
    <t>TRX0073</t>
  </si>
  <si>
    <t>TRX0033</t>
  </si>
  <si>
    <t>TRX0160</t>
  </si>
  <si>
    <t>TRX0145</t>
  </si>
  <si>
    <t>TRX0148</t>
  </si>
  <si>
    <t>TRX0012</t>
  </si>
  <si>
    <t>CUST045</t>
  </si>
  <si>
    <t>Douglas Watson</t>
  </si>
  <si>
    <t>TRX0206</t>
  </si>
  <si>
    <t>TRX0045</t>
  </si>
  <si>
    <t>TRX0094</t>
  </si>
  <si>
    <t>TRX0133</t>
  </si>
  <si>
    <t>TRX0201</t>
  </si>
  <si>
    <t>TRX0137</t>
  </si>
  <si>
    <t>TRX0066</t>
  </si>
  <si>
    <t>TRX0180</t>
  </si>
  <si>
    <t>TRX0082</t>
  </si>
  <si>
    <t>CUST005</t>
  </si>
  <si>
    <t>James Johnson</t>
  </si>
  <si>
    <t>TRX0036</t>
  </si>
  <si>
    <t>TRX0198</t>
  </si>
  <si>
    <t>TRX0032</t>
  </si>
  <si>
    <t>TRX0081</t>
  </si>
  <si>
    <t>TRX0224</t>
  </si>
  <si>
    <t>TRX0028</t>
  </si>
  <si>
    <t>TRX0183</t>
  </si>
  <si>
    <t>TRX0163</t>
  </si>
  <si>
    <t>TRX0046</t>
  </si>
  <si>
    <t>TRX0164</t>
  </si>
  <si>
    <t>TRX0008</t>
  </si>
  <si>
    <t>TRX0171</t>
  </si>
  <si>
    <t>TRX0143</t>
  </si>
  <si>
    <t>TRX0165</t>
  </si>
  <si>
    <t>TRX0156</t>
  </si>
  <si>
    <t>TRX0147</t>
  </si>
  <si>
    <t>TRX0207</t>
  </si>
  <si>
    <t>TRX0056</t>
  </si>
  <si>
    <t>TRX0026</t>
  </si>
  <si>
    <t>CUST037</t>
  </si>
  <si>
    <t>Arthur Edwards</t>
  </si>
  <si>
    <t>TRX0237</t>
  </si>
  <si>
    <t>TRX0091</t>
  </si>
  <si>
    <t>TRX0125</t>
  </si>
  <si>
    <t>TRX0223</t>
  </si>
  <si>
    <t>TRX0243</t>
  </si>
  <si>
    <t>TRX0084</t>
  </si>
  <si>
    <t>TRX0238</t>
  </si>
  <si>
    <t>TRX0102</t>
  </si>
  <si>
    <t>TRX0022</t>
  </si>
  <si>
    <t>TRX0087</t>
  </si>
  <si>
    <t>TRX0107</t>
  </si>
  <si>
    <t>TRX0051</t>
  </si>
  <si>
    <t>TRX0106</t>
  </si>
  <si>
    <t>TRX0059</t>
  </si>
  <si>
    <t>TRX0072</t>
  </si>
  <si>
    <t>TRX0110</t>
  </si>
  <si>
    <t>TRX0126</t>
  </si>
  <si>
    <t>TRX0159</t>
  </si>
  <si>
    <t>TRX0030</t>
  </si>
  <si>
    <t>TRX0178</t>
  </si>
  <si>
    <t>TRX0188</t>
  </si>
  <si>
    <t>TRX0010</t>
  </si>
  <si>
    <t>TRX0069</t>
  </si>
  <si>
    <t>TRX0166</t>
  </si>
  <si>
    <t>TRX0219</t>
  </si>
  <si>
    <t>TRX0024</t>
  </si>
  <si>
    <t>TRX0105</t>
  </si>
  <si>
    <t>TRX0011</t>
  </si>
  <si>
    <t>TRX0187</t>
  </si>
  <si>
    <t>TRX0089</t>
  </si>
  <si>
    <t>TRX0196</t>
  </si>
  <si>
    <t>TRX0118</t>
  </si>
  <si>
    <t>TRX0179</t>
  </si>
  <si>
    <t>TRX0168</t>
  </si>
  <si>
    <t>TRX0214</t>
  </si>
  <si>
    <t>TRX0221</t>
  </si>
  <si>
    <t>TRX0083</t>
  </si>
  <si>
    <t>TRX0151</t>
  </si>
  <si>
    <t>TRX0047</t>
  </si>
  <si>
    <t>TRX0200</t>
  </si>
  <si>
    <t>TRX0062</t>
  </si>
  <si>
    <t>TRX0182</t>
  </si>
  <si>
    <t>TRX0229</t>
  </si>
  <si>
    <t>TRX0048</t>
  </si>
  <si>
    <t>TRX0227</t>
  </si>
  <si>
    <t>TRX0226</t>
  </si>
  <si>
    <t>TRX0053</t>
  </si>
  <si>
    <t>TRX0233</t>
  </si>
  <si>
    <t>TRX0175</t>
  </si>
  <si>
    <t>TRX0186</t>
  </si>
  <si>
    <t>TRX0016</t>
  </si>
  <si>
    <t>TRX0199</t>
  </si>
  <si>
    <t>TRX0038</t>
  </si>
  <si>
    <t>TRX0014</t>
  </si>
  <si>
    <t>TRX0003</t>
  </si>
  <si>
    <t>TRX0124</t>
  </si>
  <si>
    <t>TRX0013</t>
  </si>
  <si>
    <t>TRX0019</t>
  </si>
  <si>
    <t>TRX0050</t>
  </si>
  <si>
    <t>CUST001</t>
  </si>
  <si>
    <t>John Smith</t>
  </si>
  <si>
    <t>TRX0152</t>
  </si>
  <si>
    <t>TRX0213</t>
  </si>
  <si>
    <t>TRX0197</t>
  </si>
  <si>
    <t>TRX0250</t>
  </si>
  <si>
    <t>TRX0068</t>
  </si>
  <si>
    <t>TRX0144</t>
  </si>
  <si>
    <t>TRX0039</t>
  </si>
  <si>
    <t>TRX0116</t>
  </si>
  <si>
    <t>TRX0120</t>
  </si>
  <si>
    <t>TRX0103</t>
  </si>
  <si>
    <t>TRX0064</t>
  </si>
  <si>
    <t>Today</t>
  </si>
  <si>
    <t>Now</t>
  </si>
  <si>
    <t xml:space="preserve">DATEDIF </t>
  </si>
  <si>
    <t xml:space="preserve">Datedif function is </t>
  </si>
  <si>
    <t>not available</t>
  </si>
  <si>
    <t>EOMANTH</t>
  </si>
  <si>
    <t>FILTER</t>
  </si>
  <si>
    <t xml:space="preserve">FILTER function is </t>
  </si>
  <si>
    <t>WHAT IF (Scenario Manager)</t>
  </si>
  <si>
    <t>Unit Price</t>
  </si>
  <si>
    <t>Total Amount</t>
  </si>
  <si>
    <t>WHAT IF (Goal Seek)</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</si>
  <si>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</si>
  <si>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</si>
  <si>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</si>
  <si>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</si>
  <si>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</si>
  <si>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</si>
  <si>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</si>
  <si>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</si>
  <si>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</si>
  <si>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</si>
  <si>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</si>
  <si>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</si>
  <si>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</si>
  <si>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</si>
  <si>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</si>
  <si>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</si>
  <si>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</si>
  <si>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</si>
  <si>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</si>
  <si>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</si>
  <si>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</si>
  <si>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</si>
  <si>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</si>
  <si>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</si>
  <si>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X Variable 1</t>
  </si>
  <si>
    <t>Row Labels</t>
  </si>
  <si>
    <t>Grand Total</t>
  </si>
  <si>
    <t>Sum of Total_Amount</t>
  </si>
  <si>
    <t>Customer-wise Total sales</t>
  </si>
  <si>
    <t>Regine wise Sales</t>
  </si>
  <si>
    <t>Category Wise Sales</t>
  </si>
  <si>
    <t xml:space="preserve">Total Sales </t>
  </si>
  <si>
    <t>High Value Customer</t>
  </si>
  <si>
    <t>Total Quantity</t>
  </si>
  <si>
    <t>Product Frequency</t>
  </si>
  <si>
    <t>Most Frequency purches Product</t>
  </si>
  <si>
    <t>List 1</t>
  </si>
  <si>
    <t>List 2</t>
  </si>
  <si>
    <t>Final List</t>
  </si>
  <si>
    <t>First Later</t>
  </si>
  <si>
    <t>Total Unit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</si>
</sst>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i/>
      <sz val="11"/>
      <color theme="1"/>
      <name val="Calibri"/>
      <family val="2"/>
      <scheme val="minor"/>
    </font>
    <font>
      <i/>
      <u/>
      <sz val="11"/>
      <color theme="1" tint="4.9989318521683403E-2"/>
      <name val="Calibri"/>
      <family val="2"/>
      <scheme val="minor"/>
    </font>
    <font>
      <b/>
      <i/>
      <u/>
      <sz val="11"/>
      <color theme="1"/>
      <name val="Calibri"/>
      <family val="2"/>
      <scheme val="minor"/>
    </font>
  </fonts>
  <fills count="4">
    <fill>
      <patternFill patternType="none"/>
    </fill>
    <fill>
      <patternFill patternType="gray125"/>
    </fill>
    <fill>
      <patternFill patternType="solid">
        <fgColor theme="2" tint="-0.249977111117893"/>
        <bgColor indexed="64"/>
      </patternFill>
    </fill>
    <fill>
      <patternFill patternType="solid">
        <fgColor theme="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medium">
        <color indexed="64"/>
      </bottom>
      <diagonal/>
    </border>
    <border>
      <left/>
      <right/>
      <top style="medium">
        <color indexed="64"/>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42">
    <xf numFmtId="0" fontId="0" fillId="0" borderId="0" xfId="0"/>
    <xf numFmtId="0" fontId="0" fillId="0" borderId="0" xfId="0" applyFill="1" applyBorder="1" applyAlignment="1"/>
    <xf numFmtId="0" fontId="0" fillId="0" borderId="3" xfId="0" applyFill="1" applyBorder="1" applyAlignment="1"/>
    <xf numFmtId="0" fontId="2" fillId="0" borderId="4" xfId="0" applyFont="1" applyFill="1" applyBorder="1" applyAlignment="1">
      <alignment horizontal="center"/>
    </xf>
    <xf numFmtId="0" fontId="2" fillId="0" borderId="4" xfId="0" applyFont="1" applyFill="1" applyBorder="1" applyAlignment="1">
      <alignment horizontal="centerContinuous"/>
    </xf>
    <xf numFmtId="0" fontId="0" fillId="0" borderId="0" xfId="0" pivotButton="1"/>
    <xf numFmtId="0" fontId="0" fillId="0" borderId="0" xfId="0" applyAlignment="1">
      <alignment horizontal="left"/>
    </xf>
    <xf numFmtId="0" fontId="0" fillId="0" borderId="0" xfId="0" applyNumberFormat="1"/>
    <xf numFmtId="0" fontId="0" fillId="0" borderId="1" xfId="0" applyBorder="1" applyAlignment="1">
      <alignment wrapText="1"/>
    </xf>
    <xf numFmtId="0" fontId="4" fillId="2" borderId="2" xfId="0" applyFont="1" applyFill="1" applyBorder="1" applyAlignment="1">
      <alignment wrapText="1"/>
    </xf>
    <xf numFmtId="0" fontId="4" fillId="2" borderId="7" xfId="0" applyFont="1" applyFill="1" applyBorder="1" applyAlignment="1">
      <alignment wrapText="1"/>
    </xf>
    <xf numFmtId="14" fontId="0" fillId="3" borderId="7" xfId="0" applyNumberFormat="1" applyFill="1" applyBorder="1"/>
    <xf numFmtId="0" fontId="3" fillId="0" borderId="8" xfId="0" applyFont="1" applyBorder="1" applyAlignment="1">
      <alignment wrapText="1"/>
    </xf>
    <xf numFmtId="0" fontId="3" fillId="0" borderId="9" xfId="0" applyFont="1" applyBorder="1" applyAlignment="1">
      <alignment wrapText="1"/>
    </xf>
    <xf numFmtId="0" fontId="3" fillId="0" borderId="5" xfId="0" applyFont="1" applyBorder="1" applyAlignment="1">
      <alignment wrapText="1"/>
    </xf>
    <xf numFmtId="0" fontId="0" fillId="0" borderId="6" xfId="0" applyBorder="1" applyAlignment="1">
      <alignment wrapText="1"/>
    </xf>
    <xf numFmtId="14" fontId="0" fillId="0" borderId="1" xfId="0" applyNumberFormat="1" applyBorder="1" applyAlignment="1">
      <alignment horizontal="right" wrapText="1"/>
    </xf>
    <xf numFmtId="0" fontId="0" fillId="0" borderId="1" xfId="0" applyBorder="1" applyAlignment="1">
      <alignment horizontal="right" wrapText="1"/>
    </xf>
    <xf numFmtId="0" fontId="0" fillId="0" borderId="2" xfId="0" applyBorder="1" applyAlignment="1">
      <alignment horizontal="right" wrapText="1"/>
    </xf>
    <xf numFmtId="0" fontId="0" fillId="0" borderId="10" xfId="0" applyBorder="1" applyAlignment="1">
      <alignment wrapText="1"/>
    </xf>
    <xf numFmtId="14" fontId="0" fillId="0" borderId="11" xfId="0" applyNumberFormat="1" applyBorder="1" applyAlignment="1">
      <alignment horizontal="right" wrapText="1"/>
    </xf>
    <xf numFmtId="0" fontId="0" fillId="0" borderId="11" xfId="0" applyBorder="1" applyAlignment="1">
      <alignment wrapText="1"/>
    </xf>
    <xf numFmtId="0" fontId="0" fillId="0" borderId="11" xfId="0" applyBorder="1" applyAlignment="1">
      <alignment horizontal="right" wrapText="1"/>
    </xf>
    <xf numFmtId="0" fontId="0" fillId="0" borderId="12" xfId="0" applyBorder="1" applyAlignment="1">
      <alignment horizontal="right" wrapText="1"/>
    </xf>
    <xf numFmtId="22" fontId="0" fillId="3" borderId="7" xfId="0" applyNumberFormat="1" applyFill="1" applyBorder="1"/>
    <xf numFmtId="14" fontId="0" fillId="3" borderId="6" xfId="0" applyNumberFormat="1" applyFill="1" applyBorder="1"/>
    <xf numFmtId="0" fontId="0" fillId="3" borderId="2" xfId="0" applyFill="1" applyBorder="1"/>
    <xf numFmtId="0" fontId="0" fillId="3" borderId="1" xfId="0" applyFill="1" applyBorder="1"/>
    <xf numFmtId="0" fontId="0" fillId="3" borderId="1" xfId="0" applyFill="1" applyBorder="1" applyAlignment="1">
      <alignment wrapText="1"/>
    </xf>
    <xf numFmtId="0" fontId="4" fillId="2" borderId="6" xfId="0" applyFont="1" applyFill="1" applyBorder="1" applyAlignment="1">
      <alignment wrapText="1"/>
    </xf>
    <xf numFmtId="0" fontId="4" fillId="2" borderId="1" xfId="0" applyFont="1" applyFill="1" applyBorder="1" applyAlignment="1">
      <alignment wrapText="1"/>
    </xf>
    <xf numFmtId="18" fontId="4" fillId="2" borderId="1" xfId="0" applyNumberFormat="1" applyFont="1" applyFill="1" applyBorder="1"/>
    <xf numFmtId="0" fontId="1" fillId="2" borderId="1" xfId="0" applyFont="1" applyFill="1" applyBorder="1" applyAlignment="1">
      <alignment wrapText="1"/>
    </xf>
    <xf numFmtId="0" fontId="1" fillId="2" borderId="1" xfId="0" applyFont="1" applyFill="1" applyBorder="1"/>
    <xf numFmtId="0" fontId="1" fillId="2" borderId="1" xfId="0" applyFont="1" applyFill="1" applyBorder="1" applyAlignment="1">
      <alignment horizontal="center"/>
    </xf>
    <xf numFmtId="0" fontId="4" fillId="2" borderId="1" xfId="0" applyFont="1" applyFill="1" applyBorder="1" applyAlignment="1">
      <alignment horizontal="center"/>
    </xf>
    <xf numFmtId="0" fontId="4" fillId="2" borderId="6" xfId="0" applyFont="1" applyFill="1" applyBorder="1" applyAlignment="1">
      <alignment horizontal="center" wrapText="1"/>
    </xf>
    <xf numFmtId="0" fontId="4" fillId="2" borderId="2" xfId="0" applyFont="1" applyFill="1" applyBorder="1" applyAlignment="1">
      <alignment horizontal="center" wrapText="1"/>
    </xf>
    <xf numFmtId="0" fontId="0" fillId="3" borderId="6" xfId="0" applyFill="1" applyBorder="1" applyAlignment="1">
      <alignment horizontal="center"/>
    </xf>
    <xf numFmtId="0" fontId="0" fillId="3" borderId="2" xfId="0" applyFill="1" applyBorder="1" applyAlignment="1">
      <alignment horizontal="center"/>
    </xf>
    <xf numFmtId="0" fontId="1" fillId="2" borderId="0" xfId="0" applyFont="1" applyFill="1" applyAlignment="1">
      <alignment horizontal="center"/>
    </xf>
    <xf numFmtId="0" fontId="0" fillId="2" borderId="0" xfId="0" applyFill="1" applyAlignment="1">
      <alignment horizontal="center"/>
    </xf>
  </cellXfs>
  <cellStyles count="1">
    <cellStyle name="Normal" xfId="0" builtinId="0"/>
  </cellStyles>
  <dxfs count="19">
    <dxf>
      <alignment horizontal="right" vertical="bottom" textRotation="0" wrapText="1"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numFmt numFmtId="19" formatCode="dd/mm/yyyy"/>
      <alignment horizontal="righ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righ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righ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alignment horizontal="righ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dxf>
    <dxf>
      <border>
        <bottom style="thin">
          <color indexed="64"/>
        </bottom>
      </border>
    </dxf>
    <dxf>
      <font>
        <b val="0"/>
        <i/>
        <strike val="0"/>
        <condense val="0"/>
        <extend val="0"/>
        <outline val="0"/>
        <shadow val="0"/>
        <u/>
        <vertAlign val="baseline"/>
        <sz val="11"/>
        <color theme="1" tint="4.9989318521683403E-2"/>
        <name val="Calibri"/>
        <family val="2"/>
        <scheme val="minor"/>
      </font>
      <alignment horizontal="general" vertical="bottom"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[final_project.xlsx]Pivot table and chart!PivotTable3</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'Pivot table and chart'!$B$4</c:f>
              <c:strCache>
                <c:ptCount val="1"/>
                <c:pt idx="0">
                  <c:v>Total</c:v>
                </c:pt>
              </c:strCache>
            </c:strRef>
          </c:tx>
          <c:spPr>
            <a:solidFill>
              <a:schemeClr val="accent1"/>
            </a:solidFill>
            <a:ln>
              <a:noFill/>
            </a:ln>
            <a:effectLst/>
          </c:spPr>
          <c:invertIfNegative val="0"/>
          <c:cat>
            <c:strRef>
              <c:f>'Pivot table and chart'!$A$5:$A$55</c:f>
              <c:strCache>
                <c:ptCount val="50"/>
                <c:pt idx="0">
                  <c:v>Arthur Edwards</c:v>
                </c:pt>
                <c:pt idx="1">
                  <c:v>Barbara Young</c:v>
                </c:pt>
                <c:pt idx="2">
                  <c:v>Betty Campbell</c:v>
                </c:pt>
                <c:pt idx="3">
                  <c:v>Carol Evans</c:v>
                </c:pt>
                <c:pt idx="4">
                  <c:v>Charles Allen</c:v>
                </c:pt>
                <c:pt idx="5">
                  <c:v>Cynthia Price</c:v>
                </c:pt>
                <c:pt idx="6">
                  <c:v>Daniel King</c:v>
                </c:pt>
                <c:pt idx="7">
                  <c:v>David Martinez</c:v>
                </c:pt>
                <c:pt idx="8">
                  <c:v>Dennis Gray</c:v>
                </c:pt>
                <c:pt idx="9">
                  <c:v>Dorothy Nelson</c:v>
                </c:pt>
                <c:pt idx="10">
                  <c:v>Douglas Watson</c:v>
                </c:pt>
                <c:pt idx="11">
                  <c:v>Edward Mitchell</c:v>
                </c:pt>
                <c:pt idx="12">
                  <c:v>Elizabeth Hall</c:v>
                </c:pt>
                <c:pt idx="13">
                  <c:v>Emma Wilson</c:v>
                </c:pt>
                <c:pt idx="14">
                  <c:v>Frank Torres</c:v>
                </c:pt>
                <c:pt idx="15">
                  <c:v>George Adams</c:v>
                </c:pt>
                <c:pt idx="16">
                  <c:v>Gerald Murphy</c:v>
                </c:pt>
                <c:pt idx="17">
                  <c:v>Harry Morgan</c:v>
                </c:pt>
                <c:pt idx="18">
                  <c:v>Helen Roberts</c:v>
                </c:pt>
                <c:pt idx="19">
                  <c:v>James Johnson</c:v>
                </c:pt>
                <c:pt idx="20">
                  <c:v>Jennifer Taylor</c:v>
                </c:pt>
                <c:pt idx="21">
                  <c:v>John Smith</c:v>
                </c:pt>
                <c:pt idx="22">
                  <c:v>Joseph Jackson</c:v>
                </c:pt>
                <c:pt idx="23">
                  <c:v>Julie Foster</c:v>
                </c:pt>
                <c:pt idx="24">
                  <c:v>Karen Hill</c:v>
                </c:pt>
                <c:pt idx="25">
                  <c:v>Kathleen Bennett</c:v>
                </c:pt>
                <c:pt idx="26">
                  <c:v>Kevin Scott</c:v>
                </c:pt>
                <c:pt idx="27">
                  <c:v>Lawrence Reed</c:v>
                </c:pt>
                <c:pt idx="28">
                  <c:v>Linda Martin</c:v>
                </c:pt>
                <c:pt idx="29">
                  <c:v>Lisa Anderson</c:v>
                </c:pt>
                <c:pt idx="30">
                  <c:v>Margaret Wright</c:v>
                </c:pt>
                <c:pt idx="31">
                  <c:v>Maria Garcia</c:v>
                </c:pt>
                <c:pt idx="32">
                  <c:v>Mark Carter</c:v>
                </c:pt>
                <c:pt idx="33">
                  <c:v>Michael Brown</c:v>
                </c:pt>
                <c:pt idx="34">
                  <c:v>Michelle Rogers</c:v>
                </c:pt>
                <c:pt idx="35">
                  <c:v>Nancy Collins</c:v>
                </c:pt>
                <c:pt idx="36">
                  <c:v>Patricia Moore</c:v>
                </c:pt>
                <c:pt idx="37">
                  <c:v>Paul Baker</c:v>
                </c:pt>
                <c:pt idx="38">
                  <c:v>Peter Richardson</c:v>
                </c:pt>
                <c:pt idx="39">
                  <c:v>Raymond Ross</c:v>
                </c:pt>
                <c:pt idx="40">
                  <c:v>Richard Lee</c:v>
                </c:pt>
                <c:pt idx="41">
                  <c:v>Robert Thomas</c:v>
                </c:pt>
                <c:pt idx="42">
                  <c:v>Ruth Brooks</c:v>
                </c:pt>
                <c:pt idx="43">
                  <c:v>Sandra Phillips</c:v>
                </c:pt>
                <c:pt idx="44">
                  <c:v>Sarah Davis</c:v>
                </c:pt>
                <c:pt idx="45">
                  <c:v>Sharon Butler</c:v>
                </c:pt>
                <c:pt idx="46">
                  <c:v>Steven Turner</c:v>
                </c:pt>
                <c:pt idx="47">
                  <c:v>Susan Green</c:v>
                </c:pt>
                <c:pt idx="48">
                  <c:v>Virginia Sanders</c:v>
                </c:pt>
                <c:pt idx="49">
                  <c:v>William White</c:v>
                </c:pt>
              </c:strCache>
            </c:strRef>
          </c:cat>
          <c:val>
            <c:numRef>
              <c:f>'Pivot table and chart'!$B$5:$B$55</c:f>
              <c:numCache>
                <c:formatCode>General</c:formatCode>
                <c:ptCount val="50"/>
                <c:pt idx="0">
                  <c:v>1559.94</c:v>
                </c:pt>
                <c:pt idx="1">
                  <c:v>10649.8</c:v>
                </c:pt>
                <c:pt idx="2">
                  <c:v>5649.84</c:v>
                </c:pt>
                <c:pt idx="3">
                  <c:v>1149.93</c:v>
                </c:pt>
                <c:pt idx="4">
                  <c:v>5089.7300000000005</c:v>
                </c:pt>
                <c:pt idx="5">
                  <c:v>3769.8300000000004</c:v>
                </c:pt>
                <c:pt idx="6">
                  <c:v>7309.7999999999993</c:v>
                </c:pt>
                <c:pt idx="7">
                  <c:v>1809.84</c:v>
                </c:pt>
                <c:pt idx="8">
                  <c:v>479.91999999999996</c:v>
                </c:pt>
                <c:pt idx="9">
                  <c:v>8269.7900000000009</c:v>
                </c:pt>
                <c:pt idx="10">
                  <c:v>4829.8899999999994</c:v>
                </c:pt>
                <c:pt idx="11">
                  <c:v>11919.769999999999</c:v>
                </c:pt>
                <c:pt idx="12">
                  <c:v>3649.8599999999997</c:v>
                </c:pt>
                <c:pt idx="13">
                  <c:v>1229.8800000000001</c:v>
                </c:pt>
                <c:pt idx="14">
                  <c:v>1479.91</c:v>
                </c:pt>
                <c:pt idx="15">
                  <c:v>3779.93</c:v>
                </c:pt>
                <c:pt idx="16">
                  <c:v>6379.87</c:v>
                </c:pt>
                <c:pt idx="17">
                  <c:v>5519.8899999999994</c:v>
                </c:pt>
                <c:pt idx="18">
                  <c:v>6459.79</c:v>
                </c:pt>
                <c:pt idx="19">
                  <c:v>179.97</c:v>
                </c:pt>
                <c:pt idx="20">
                  <c:v>4739.8500000000004</c:v>
                </c:pt>
                <c:pt idx="21">
                  <c:v>599.96</c:v>
                </c:pt>
                <c:pt idx="22">
                  <c:v>6949.84</c:v>
                </c:pt>
                <c:pt idx="23">
                  <c:v>239.96</c:v>
                </c:pt>
                <c:pt idx="24">
                  <c:v>8009.7699999999995</c:v>
                </c:pt>
                <c:pt idx="25">
                  <c:v>4309.8099999999995</c:v>
                </c:pt>
                <c:pt idx="26">
                  <c:v>3259.87</c:v>
                </c:pt>
                <c:pt idx="27">
                  <c:v>6989.7699999999986</c:v>
                </c:pt>
                <c:pt idx="28">
                  <c:v>1289.9000000000001</c:v>
                </c:pt>
                <c:pt idx="29">
                  <c:v>2039.8000000000002</c:v>
                </c:pt>
                <c:pt idx="30">
                  <c:v>2099.88</c:v>
                </c:pt>
                <c:pt idx="31">
                  <c:v>1909.93</c:v>
                </c:pt>
                <c:pt idx="32">
                  <c:v>15659.65</c:v>
                </c:pt>
                <c:pt idx="33">
                  <c:v>6169.7400000000007</c:v>
                </c:pt>
                <c:pt idx="34">
                  <c:v>4199.9399999999996</c:v>
                </c:pt>
                <c:pt idx="35">
                  <c:v>4189.7700000000004</c:v>
                </c:pt>
                <c:pt idx="36">
                  <c:v>9799.73</c:v>
                </c:pt>
                <c:pt idx="37">
                  <c:v>8309.739999999998</c:v>
                </c:pt>
                <c:pt idx="38">
                  <c:v>5949.85</c:v>
                </c:pt>
                <c:pt idx="39">
                  <c:v>3669.8500000000004</c:v>
                </c:pt>
                <c:pt idx="40">
                  <c:v>739.93000000000006</c:v>
                </c:pt>
                <c:pt idx="41">
                  <c:v>3509.8999999999996</c:v>
                </c:pt>
                <c:pt idx="42">
                  <c:v>1749.92</c:v>
                </c:pt>
                <c:pt idx="43">
                  <c:v>6349.83</c:v>
                </c:pt>
                <c:pt idx="44">
                  <c:v>5499.8099999999995</c:v>
                </c:pt>
                <c:pt idx="45">
                  <c:v>5619.869999999999</c:v>
                </c:pt>
                <c:pt idx="46">
                  <c:v>2649.83</c:v>
                </c:pt>
                <c:pt idx="47">
                  <c:v>1979.89</c:v>
                </c:pt>
                <c:pt idx="48">
                  <c:v>4789.7900000000009</c:v>
                </c:pt>
                <c:pt idx="49">
                  <c:v>4749.91</c:v>
                </c:pt>
              </c:numCache>
            </c:numRef>
          </c:val>
          <c:extLst>
            <c:ext xmlns:c16="http://schemas.microsoft.com/office/drawing/2014/chart" uri="{C3380CC4-5D6E-409C-BE32-E72D297353CC}">
              <c16:uniqueId val="{00000000-E35D-42DF-A7A2-406714243C22}"/>
            </c:ext>
          </c:extLst>
        </c:ser>
        <c:dLbls>
          <c:showLegendKey val="0"/>
          <c:showVal val="0"/>
          <c:showCatName val="0"/>
          <c:showSerName val="0"/>
          <c:showPercent val="0"/>
          <c:showBubbleSize val="0"/>
        </c:dLbls>
        <c:gapWidth val="219"/>
        <c:overlap val="-27"/>
        <c:axId val="1642427567"/>
        <c:axId val="221132207"/>
      </c:barChart>
      <c:catAx>
        <c:axId val="1642427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1132207"/>
        <c:crosses val="autoZero"/>
        <c:auto val="1"/>
        <c:lblAlgn val="ctr"/>
        <c:lblOffset val="100"/>
        <c:noMultiLvlLbl val="0"/>
      </c:catAx>
      <c:valAx>
        <c:axId val="221132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24275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[final_project.xlsx]Pivot table and chart!PivotTable4</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s>
    <c:plotArea>
      <c:layout/>
      <c:lineChart>
        <c:grouping val="standard"/>
        <c:varyColors val="0"/>
        <c:ser>
          <c:idx val="0"/>
          <c:order val="0"/>
          <c:tx>
            <c:strRef>
              <c:f>'Pivot table and chart'!$D$4</c:f>
              <c:strCache>
                <c:ptCount val="1"/>
                <c:pt idx="0">
                  <c:v>Total</c:v>
                </c:pt>
              </c:strCache>
            </c:strRef>
          </c:tx>
          <c:spPr>
            <a:ln w="28575" cap="rnd">
              <a:solidFill>
                <a:schemeClr val="accent1"/>
              </a:solidFill>
              <a:round/>
            </a:ln>
            <a:effectLst/>
          </c:spPr>
          <c:marker>
            <c:symbol val="none"/>
          </c:marker>
          <c:cat>
            <c:strRef>
              <c:f>'Pivot table and chart'!$C$5:$C$10</c:f>
              <c:strCache>
                <c:ptCount val="5"/>
                <c:pt idx="0">
                  <c:v>Central</c:v>
                </c:pt>
                <c:pt idx="1">
                  <c:v>East</c:v>
                </c:pt>
                <c:pt idx="2">
                  <c:v>North</c:v>
                </c:pt>
                <c:pt idx="3">
                  <c:v>South</c:v>
                </c:pt>
                <c:pt idx="4">
                  <c:v>West</c:v>
                </c:pt>
              </c:strCache>
            </c:strRef>
          </c:cat>
          <c:val>
            <c:numRef>
              <c:f>'Pivot table and chart'!$D$5:$D$10</c:f>
              <c:numCache>
                <c:formatCode>General</c:formatCode>
                <c:ptCount val="5"/>
                <c:pt idx="0">
                  <c:v>41288.340000000018</c:v>
                </c:pt>
                <c:pt idx="1">
                  <c:v>59288.389999999992</c:v>
                </c:pt>
                <c:pt idx="2">
                  <c:v>50808.310000000012</c:v>
                </c:pt>
                <c:pt idx="3">
                  <c:v>36398.750000000007</c:v>
                </c:pt>
                <c:pt idx="4">
                  <c:v>41408.680000000015</c:v>
                </c:pt>
              </c:numCache>
            </c:numRef>
          </c:val>
          <c:smooth val="0"/>
          <c:extLst>
            <c:ext xmlns:c16="http://schemas.microsoft.com/office/drawing/2014/chart" uri="{C3380CC4-5D6E-409C-BE32-E72D297353CC}">
              <c16:uniqueId val="{00000000-B1FB-4AA2-B406-43F93525C0EF}"/>
            </c:ext>
          </c:extLst>
        </c:ser>
        <c:dLbls>
          <c:showLegendKey val="0"/>
          <c:showVal val="0"/>
          <c:showCatName val="0"/>
          <c:showSerName val="0"/>
          <c:showPercent val="0"/>
          <c:showBubbleSize val="0"/>
        </c:dLbls>
        <c:smooth val="0"/>
        <c:axId val="216118175"/>
        <c:axId val="309765519"/>
      </c:lineChart>
      <c:catAx>
        <c:axId val="216118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9765519"/>
        <c:crosses val="autoZero"/>
        <c:auto val="1"/>
        <c:lblAlgn val="ctr"/>
        <c:lblOffset val="100"/>
        <c:noMultiLvlLbl val="0"/>
      </c:catAx>
      <c:valAx>
        <c:axId val="3097655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61181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[final_project.xlsx]Pivot table and chart!PivotTable5</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'Pivot table and chart'!$F$4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102-4CD0-B42D-153ABB06F32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102-4CD0-B42D-153ABB06F32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102-4CD0-B42D-153ABB06F32C}"/>
              </c:ext>
            </c:extLst>
          </c:dPt>
          <c:cat>
            <c:strRef>
              <c:f>'Pivot table and chart'!$E$5:$E$8</c:f>
              <c:strCache>
                <c:ptCount val="3"/>
                <c:pt idx="0">
                  <c:v>Appliances</c:v>
                </c:pt>
                <c:pt idx="1">
                  <c:v>Electronics</c:v>
                </c:pt>
                <c:pt idx="2">
                  <c:v>Furniture</c:v>
                </c:pt>
              </c:strCache>
            </c:strRef>
          </c:cat>
          <c:val>
            <c:numRef>
              <c:f>'Pivot table and chart'!$F$5:$F$8</c:f>
              <c:numCache>
                <c:formatCode>General</c:formatCode>
                <c:ptCount val="3"/>
                <c:pt idx="0">
                  <c:v>8338.7399999999961</c:v>
                </c:pt>
                <c:pt idx="1">
                  <c:v>171756.05000000013</c:v>
                </c:pt>
                <c:pt idx="2">
                  <c:v>49097.680000000015</c:v>
                </c:pt>
              </c:numCache>
            </c:numRef>
          </c:val>
          <c:extLst>
            <c:ext xmlns:c16="http://schemas.microsoft.com/office/drawing/2014/chart" uri="{C3380CC4-5D6E-409C-BE32-E72D297353CC}">
              <c16:uniqueId val="{00000000-812C-484B-B55B-20673333491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[final_project.xlsx]Pivot table and chart!PivotTable3</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pivotFmt>
      <c:pivotFmt>
        <c:idx val="1"/>
        <c:spPr>
          <a:solidFill>
            <a:schemeClr val="accent1"/>
          </a:solidFill>
          <a:ln>
            <a:noFill/>
          </a:ln>
          <a:effectLst/>
        </c:spP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'Pivot table and chart'!$B$4</c:f>
              <c:strCache>
                <c:ptCount val="1"/>
                <c:pt idx="0">
                  <c:v>Total</c:v>
                </c:pt>
              </c:strCache>
            </c:strRef>
          </c:tx>
          <c:spPr>
            <a:solidFill>
              <a:schemeClr val="accent1"/>
            </a:solidFill>
            <a:ln>
              <a:noFill/>
            </a:ln>
            <a:effectLst/>
          </c:spPr>
          <c:invertIfNegative val="0"/>
          <c:cat>
            <c:strRef>
              <c:f>'Pivot table and chart'!$A$5:$A$55</c:f>
              <c:strCache>
                <c:ptCount val="50"/>
                <c:pt idx="0">
                  <c:v>Arthur Edwards</c:v>
                </c:pt>
                <c:pt idx="1">
                  <c:v>Barbara Young</c:v>
                </c:pt>
                <c:pt idx="2">
                  <c:v>Betty Campbell</c:v>
                </c:pt>
                <c:pt idx="3">
                  <c:v>Carol Evans</c:v>
                </c:pt>
                <c:pt idx="4">
                  <c:v>Charles Allen</c:v>
                </c:pt>
                <c:pt idx="5">
                  <c:v>Cynthia Price</c:v>
                </c:pt>
                <c:pt idx="6">
                  <c:v>Daniel King</c:v>
                </c:pt>
                <c:pt idx="7">
                  <c:v>David Martinez</c:v>
                </c:pt>
                <c:pt idx="8">
                  <c:v>Dennis Gray</c:v>
                </c:pt>
                <c:pt idx="9">
                  <c:v>Dorothy Nelson</c:v>
                </c:pt>
                <c:pt idx="10">
                  <c:v>Douglas Watson</c:v>
                </c:pt>
                <c:pt idx="11">
                  <c:v>Edward Mitchell</c:v>
                </c:pt>
                <c:pt idx="12">
                  <c:v>Elizabeth Hall</c:v>
                </c:pt>
                <c:pt idx="13">
                  <c:v>Emma Wilson</c:v>
                </c:pt>
                <c:pt idx="14">
                  <c:v>Frank Torres</c:v>
                </c:pt>
                <c:pt idx="15">
                  <c:v>George Adams</c:v>
                </c:pt>
                <c:pt idx="16">
                  <c:v>Gerald Murphy</c:v>
                </c:pt>
                <c:pt idx="17">
                  <c:v>Harry Morgan</c:v>
                </c:pt>
                <c:pt idx="18">
                  <c:v>Helen Roberts</c:v>
                </c:pt>
                <c:pt idx="19">
                  <c:v>James Johnson</c:v>
                </c:pt>
                <c:pt idx="20">
                  <c:v>Jennifer Taylor</c:v>
                </c:pt>
                <c:pt idx="21">
                  <c:v>John Smith</c:v>
                </c:pt>
                <c:pt idx="22">
                  <c:v>Joseph Jackson</c:v>
                </c:pt>
                <c:pt idx="23">
                  <c:v>Julie Foster</c:v>
                </c:pt>
                <c:pt idx="24">
                  <c:v>Karen Hill</c:v>
                </c:pt>
                <c:pt idx="25">
                  <c:v>Kathleen Bennett</c:v>
                </c:pt>
                <c:pt idx="26">
                  <c:v>Kevin Scott</c:v>
                </c:pt>
                <c:pt idx="27">
                  <c:v>Lawrence Reed</c:v>
                </c:pt>
                <c:pt idx="28">
                  <c:v>Linda Martin</c:v>
                </c:pt>
                <c:pt idx="29">
                  <c:v>Lisa Anderson</c:v>
                </c:pt>
                <c:pt idx="30">
                  <c:v>Margaret Wright</c:v>
                </c:pt>
                <c:pt idx="31">
                  <c:v>Maria Garcia</c:v>
                </c:pt>
                <c:pt idx="32">
                  <c:v>Mark Carter</c:v>
                </c:pt>
                <c:pt idx="33">
                  <c:v>Michael Brown</c:v>
                </c:pt>
                <c:pt idx="34">
                  <c:v>Michelle Rogers</c:v>
                </c:pt>
                <c:pt idx="35">
                  <c:v>Nancy Collins</c:v>
                </c:pt>
                <c:pt idx="36">
                  <c:v>Patricia Moore</c:v>
                </c:pt>
                <c:pt idx="37">
                  <c:v>Paul Baker</c:v>
                </c:pt>
                <c:pt idx="38">
                  <c:v>Peter Richardson</c:v>
                </c:pt>
                <c:pt idx="39">
                  <c:v>Raymond Ross</c:v>
                </c:pt>
                <c:pt idx="40">
                  <c:v>Richard Lee</c:v>
                </c:pt>
                <c:pt idx="41">
                  <c:v>Robert Thomas</c:v>
                </c:pt>
                <c:pt idx="42">
                  <c:v>Ruth Brooks</c:v>
                </c:pt>
                <c:pt idx="43">
                  <c:v>Sandra Phillips</c:v>
                </c:pt>
                <c:pt idx="44">
                  <c:v>Sarah Davis</c:v>
                </c:pt>
                <c:pt idx="45">
                  <c:v>Sharon Butler</c:v>
                </c:pt>
                <c:pt idx="46">
                  <c:v>Steven Turner</c:v>
                </c:pt>
                <c:pt idx="47">
                  <c:v>Susan Green</c:v>
                </c:pt>
                <c:pt idx="48">
                  <c:v>Virginia Sanders</c:v>
                </c:pt>
                <c:pt idx="49">
                  <c:v>William White</c:v>
                </c:pt>
              </c:strCache>
            </c:strRef>
          </c:cat>
          <c:val>
            <c:numRef>
              <c:f>'Pivot table and chart'!$B$5:$B$55</c:f>
              <c:numCache>
                <c:formatCode>General</c:formatCode>
                <c:ptCount val="50"/>
                <c:pt idx="0">
                  <c:v>1559.94</c:v>
                </c:pt>
                <c:pt idx="1">
                  <c:v>10649.8</c:v>
                </c:pt>
                <c:pt idx="2">
                  <c:v>5649.84</c:v>
                </c:pt>
                <c:pt idx="3">
                  <c:v>1149.93</c:v>
                </c:pt>
                <c:pt idx="4">
                  <c:v>5089.7300000000005</c:v>
                </c:pt>
                <c:pt idx="5">
                  <c:v>3769.8300000000004</c:v>
                </c:pt>
                <c:pt idx="6">
                  <c:v>7309.7999999999993</c:v>
                </c:pt>
                <c:pt idx="7">
                  <c:v>1809.84</c:v>
                </c:pt>
                <c:pt idx="8">
                  <c:v>479.91999999999996</c:v>
                </c:pt>
                <c:pt idx="9">
                  <c:v>8269.7900000000009</c:v>
                </c:pt>
                <c:pt idx="10">
                  <c:v>4829.8899999999994</c:v>
                </c:pt>
                <c:pt idx="11">
                  <c:v>11919.769999999999</c:v>
                </c:pt>
                <c:pt idx="12">
                  <c:v>3649.8599999999997</c:v>
                </c:pt>
                <c:pt idx="13">
                  <c:v>1229.8800000000001</c:v>
                </c:pt>
                <c:pt idx="14">
                  <c:v>1479.91</c:v>
                </c:pt>
                <c:pt idx="15">
                  <c:v>3779.93</c:v>
                </c:pt>
                <c:pt idx="16">
                  <c:v>6379.87</c:v>
                </c:pt>
                <c:pt idx="17">
                  <c:v>5519.8899999999994</c:v>
                </c:pt>
                <c:pt idx="18">
                  <c:v>6459.79</c:v>
                </c:pt>
                <c:pt idx="19">
                  <c:v>179.97</c:v>
                </c:pt>
                <c:pt idx="20">
                  <c:v>4739.8500000000004</c:v>
                </c:pt>
                <c:pt idx="21">
                  <c:v>599.96</c:v>
                </c:pt>
                <c:pt idx="22">
                  <c:v>6949.84</c:v>
                </c:pt>
                <c:pt idx="23">
                  <c:v>239.96</c:v>
                </c:pt>
                <c:pt idx="24">
                  <c:v>8009.7699999999995</c:v>
                </c:pt>
                <c:pt idx="25">
                  <c:v>4309.8099999999995</c:v>
                </c:pt>
                <c:pt idx="26">
                  <c:v>3259.87</c:v>
                </c:pt>
                <c:pt idx="27">
                  <c:v>6989.7699999999986</c:v>
                </c:pt>
                <c:pt idx="28">
                  <c:v>1289.9000000000001</c:v>
                </c:pt>
                <c:pt idx="29">
                  <c:v>2039.8000000000002</c:v>
                </c:pt>
                <c:pt idx="30">
                  <c:v>2099.88</c:v>
                </c:pt>
                <c:pt idx="31">
                  <c:v>1909.93</c:v>
                </c:pt>
                <c:pt idx="32">
                  <c:v>15659.65</c:v>
                </c:pt>
                <c:pt idx="33">
                  <c:v>6169.7400000000007</c:v>
                </c:pt>
                <c:pt idx="34">
                  <c:v>4199.9399999999996</c:v>
                </c:pt>
                <c:pt idx="35">
                  <c:v>4189.7700000000004</c:v>
                </c:pt>
                <c:pt idx="36">
                  <c:v>9799.73</c:v>
                </c:pt>
                <c:pt idx="37">
                  <c:v>8309.739999999998</c:v>
                </c:pt>
                <c:pt idx="38">
                  <c:v>5949.85</c:v>
                </c:pt>
                <c:pt idx="39">
                  <c:v>3669.8500000000004</c:v>
                </c:pt>
                <c:pt idx="40">
                  <c:v>739.93000000000006</c:v>
                </c:pt>
                <c:pt idx="41">
                  <c:v>3509.8999999999996</c:v>
                </c:pt>
                <c:pt idx="42">
                  <c:v>1749.92</c:v>
                </c:pt>
                <c:pt idx="43">
                  <c:v>6349.83</c:v>
                </c:pt>
                <c:pt idx="44">
                  <c:v>5499.8099999999995</c:v>
                </c:pt>
                <c:pt idx="45">
                  <c:v>5619.869999999999</c:v>
                </c:pt>
                <c:pt idx="46">
                  <c:v>2649.83</c:v>
                </c:pt>
                <c:pt idx="47">
                  <c:v>1979.89</c:v>
                </c:pt>
                <c:pt idx="48">
                  <c:v>4789.7900000000009</c:v>
                </c:pt>
                <c:pt idx="49">
                  <c:v>4749.91</c:v>
                </c:pt>
              </c:numCache>
            </c:numRef>
          </c:val>
          <c:extLst>
            <c:ext xmlns:c16="http://schemas.microsoft.com/office/drawing/2014/chart" uri="{C3380CC4-5D6E-409C-BE32-E72D297353CC}">
              <c16:uniqueId val="{00000000-FE90-4100-BBB5-0D4D3878BD29}"/>
            </c:ext>
          </c:extLst>
        </c:ser>
        <c:dLbls>
          <c:showLegendKey val="0"/>
          <c:showVal val="0"/>
          <c:showCatName val="0"/>
          <c:showSerName val="0"/>
          <c:showPercent val="0"/>
          <c:showBubbleSize val="0"/>
        </c:dLbls>
        <c:gapWidth val="219"/>
        <c:overlap val="-27"/>
        <c:axId val="1642427567"/>
        <c:axId val="221132207"/>
      </c:barChart>
      <c:catAx>
        <c:axId val="1642427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1132207"/>
        <c:crosses val="autoZero"/>
        <c:auto val="1"/>
        <c:lblAlgn val="ctr"/>
        <c:lblOffset val="100"/>
        <c:noMultiLvlLbl val="0"/>
      </c:catAx>
      <c:valAx>
        <c:axId val="221132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24275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5">
        <a:lumMod val="20000"/>
        <a:lumOff val="80000"/>
      </a:schemeClr>
    </a:solidFill>
    <a:ln w="9525" cap="flat" cmpd="sng" algn="ctr">
      <a:no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[final_project.xlsx]Pivot table and chart!PivotTable4</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pivotFmt>
      <c:pivotFmt>
        <c:idx val="1"/>
        <c:spPr>
          <a:solidFill>
            <a:schemeClr val="accent1"/>
          </a:solidFill>
          <a:ln w="28575" cap="rnd">
            <a:solidFill>
              <a:schemeClr val="accent1"/>
            </a:solidFill>
            <a:round/>
          </a:ln>
          <a:effectLst/>
        </c:spPr>
      </c:pivotFmt>
      <c:pivotFmt>
        <c:idx val="2"/>
        <c:spPr>
          <a:ln w="28575" cap="rnd">
            <a:solidFill>
              <a:schemeClr val="accent1"/>
            </a:solidFill>
            <a:round/>
          </a:ln>
          <a:effectLst/>
        </c:spPr>
        <c:marker>
          <c:symbol val="none"/>
        </c:marker>
      </c:pivotFmt>
    </c:pivotFmts>
    <c:plotArea>
      <c:layout/>
      <c:lineChart>
        <c:grouping val="standard"/>
        <c:varyColors val="0"/>
        <c:ser>
          <c:idx val="0"/>
          <c:order val="0"/>
          <c:tx>
            <c:strRef>
              <c:f>'Pivot table and chart'!$D$4</c:f>
              <c:strCache>
                <c:ptCount val="1"/>
                <c:pt idx="0">
                  <c:v>Total</c:v>
                </c:pt>
              </c:strCache>
            </c:strRef>
          </c:tx>
          <c:spPr>
            <a:ln w="28575" cap="rnd">
              <a:solidFill>
                <a:schemeClr val="accent1"/>
              </a:solidFill>
              <a:round/>
            </a:ln>
            <a:effectLst/>
          </c:spPr>
          <c:marker>
            <c:symbol val="none"/>
          </c:marker>
          <c:cat>
            <c:strRef>
              <c:f>'Pivot table and chart'!$C$5:$C$10</c:f>
              <c:strCache>
                <c:ptCount val="5"/>
                <c:pt idx="0">
                  <c:v>Central</c:v>
                </c:pt>
                <c:pt idx="1">
                  <c:v>East</c:v>
                </c:pt>
                <c:pt idx="2">
                  <c:v>North</c:v>
                </c:pt>
                <c:pt idx="3">
                  <c:v>South</c:v>
                </c:pt>
                <c:pt idx="4">
                  <c:v>West</c:v>
                </c:pt>
              </c:strCache>
            </c:strRef>
          </c:cat>
          <c:val>
            <c:numRef>
              <c:f>'Pivot table and chart'!$D$5:$D$10</c:f>
              <c:numCache>
                <c:formatCode>General</c:formatCode>
                <c:ptCount val="5"/>
                <c:pt idx="0">
                  <c:v>41288.340000000018</c:v>
                </c:pt>
                <c:pt idx="1">
                  <c:v>59288.389999999992</c:v>
                </c:pt>
                <c:pt idx="2">
                  <c:v>50808.310000000012</c:v>
                </c:pt>
                <c:pt idx="3">
                  <c:v>36398.750000000007</c:v>
                </c:pt>
                <c:pt idx="4">
                  <c:v>41408.680000000015</c:v>
                </c:pt>
              </c:numCache>
            </c:numRef>
          </c:val>
          <c:smooth val="0"/>
          <c:extLst>
            <c:ext xmlns:c16="http://schemas.microsoft.com/office/drawing/2014/chart" uri="{C3380CC4-5D6E-409C-BE32-E72D297353CC}">
              <c16:uniqueId val="{00000000-10DE-4915-A351-F3436CC45F8B}"/>
            </c:ext>
          </c:extLst>
        </c:ser>
        <c:dLbls>
          <c:showLegendKey val="0"/>
          <c:showVal val="0"/>
          <c:showCatName val="0"/>
          <c:showSerName val="0"/>
          <c:showPercent val="0"/>
          <c:showBubbleSize val="0"/>
        </c:dLbls>
        <c:smooth val="0"/>
        <c:axId val="216118175"/>
        <c:axId val="309765519"/>
      </c:lineChart>
      <c:catAx>
        <c:axId val="216118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9765519"/>
        <c:crosses val="autoZero"/>
        <c:auto val="1"/>
        <c:lblAlgn val="ctr"/>
        <c:lblOffset val="100"/>
        <c:noMultiLvlLbl val="0"/>
      </c:catAx>
      <c:valAx>
        <c:axId val="3097655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61181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5">
        <a:lumMod val="20000"/>
        <a:lumOff val="80000"/>
      </a:schemeClr>
    </a:solidFill>
    <a:ln w="9525" cap="flat" cmpd="sng" algn="ctr">
      <a:no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[final_project.xlsx]Pivot table and chart!PivotTable5</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s>
    <c:plotArea>
      <c:layout/>
      <c:pieChart>
        <c:varyColors val="1"/>
        <c:ser>
          <c:idx val="0"/>
          <c:order val="0"/>
          <c:tx>
            <c:strRef>
              <c:f>'Pivot table and chart'!$F$4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590-446F-8988-CD4AAF0A48D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590-446F-8988-CD4AAF0A48D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590-446F-8988-CD4AAF0A48D7}"/>
              </c:ext>
            </c:extLst>
          </c:dPt>
          <c:cat>
            <c:strRef>
              <c:f>'Pivot table and chart'!$E$5:$E$8</c:f>
              <c:strCache>
                <c:ptCount val="3"/>
                <c:pt idx="0">
                  <c:v>Appliances</c:v>
                </c:pt>
                <c:pt idx="1">
                  <c:v>Electronics</c:v>
                </c:pt>
                <c:pt idx="2">
                  <c:v>Furniture</c:v>
                </c:pt>
              </c:strCache>
            </c:strRef>
          </c:cat>
          <c:val>
            <c:numRef>
              <c:f>'Pivot table and chart'!$F$5:$F$8</c:f>
              <c:numCache>
                <c:formatCode>General</c:formatCode>
                <c:ptCount val="3"/>
                <c:pt idx="0">
                  <c:v>8338.7399999999961</c:v>
                </c:pt>
                <c:pt idx="1">
                  <c:v>171756.05000000013</c:v>
                </c:pt>
                <c:pt idx="2">
                  <c:v>49097.680000000015</c:v>
                </c:pt>
              </c:numCache>
            </c:numRef>
          </c:val>
          <c:extLst>
            <c:ext xmlns:c16="http://schemas.microsoft.com/office/drawing/2014/chart" uri="{C3380CC4-5D6E-409C-BE32-E72D297353CC}">
              <c16:uniqueId val="{00000006-2590-446F-8988-CD4AAF0A48D7}"/>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5">
        <a:lumMod val="20000"/>
        <a:lumOff val="80000"/>
      </a:schemeClr>
    </a:solidFill>
    <a:ln w="9525" cap="flat" cmpd="sng" algn="ctr">
      <a:no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chart" Target="../charts/chart6.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xdr:from>
      <xdr:col>3</xdr:col>
      <xdr:colOff>0</xdr:colOff>
      <xdr:row>12</xdr:row>
      <xdr:rowOff>0</xdr:rowOff>
    </xdr:from>
    <xdr:to>
      <xdr:col>7</xdr:col>
      <xdr:colOff>388620</xdr:colOff>
      <xdr:row>27</xdr:row>
      <xdr:rowOff>0</xdr:rowOff>
    </xdr:to>
    <xdr:graphicFrame macro="">
      <xdr:nvGraphicFramePr>
        <xdr:cNvPr id="5" name="Chart 4">
          <a:extLst>
            <a:ext uri="{FF2B5EF4-FFF2-40B4-BE49-F238E27FC236}">
              <a16:creationId xmlns:a16="http://schemas.microsoft.com/office/drawing/2014/main" id="{EA2718E2-9AF2-4600-8449-03D0A0621F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7620</xdr:colOff>
      <xdr:row>3</xdr:row>
      <xdr:rowOff>7620</xdr:rowOff>
    </xdr:from>
    <xdr:to>
      <xdr:col>15</xdr:col>
      <xdr:colOff>312420</xdr:colOff>
      <xdr:row>18</xdr:row>
      <xdr:rowOff>7620</xdr:rowOff>
    </xdr:to>
    <xdr:graphicFrame macro="">
      <xdr:nvGraphicFramePr>
        <xdr:cNvPr id="6" name="Chart 5">
          <a:extLst>
            <a:ext uri="{FF2B5EF4-FFF2-40B4-BE49-F238E27FC236}">
              <a16:creationId xmlns:a16="http://schemas.microsoft.com/office/drawing/2014/main" id="{DA03A833-B654-42B9-97FA-F5E7B8297F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18</xdr:row>
      <xdr:rowOff>175260</xdr:rowOff>
    </xdr:from>
    <xdr:to>
      <xdr:col>15</xdr:col>
      <xdr:colOff>304800</xdr:colOff>
      <xdr:row>33</xdr:row>
      <xdr:rowOff>175260</xdr:rowOff>
    </xdr:to>
    <xdr:graphicFrame macro="">
      <xdr:nvGraphicFramePr>
        <xdr:cNvPr id="7" name="Chart 6">
          <a:extLst>
            <a:ext uri="{FF2B5EF4-FFF2-40B4-BE49-F238E27FC236}">
              <a16:creationId xmlns:a16="http://schemas.microsoft.com/office/drawing/2014/main" id="{E6B48488-F31D-444A-B0E1-AE3D926EAE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281940</xdr:colOff>
      <xdr:row>27</xdr:row>
      <xdr:rowOff>152401</xdr:rowOff>
    </xdr:from>
    <xdr:to>
      <xdr:col>3</xdr:col>
      <xdr:colOff>1249680</xdr:colOff>
      <xdr:row>37</xdr:row>
      <xdr:rowOff>1</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B99096A1-9FDD-4F66-AA6E-9D6938C51A2C}"/>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674620" y="5090161"/>
              <a:ext cx="1828800" cy="16764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1341120</xdr:colOff>
      <xdr:row>28</xdr:row>
      <xdr:rowOff>83820</xdr:rowOff>
    </xdr:from>
    <xdr:to>
      <xdr:col>7</xdr:col>
      <xdr:colOff>495300</xdr:colOff>
      <xdr:row>35</xdr:row>
      <xdr:rowOff>175260</xdr:rowOff>
    </xdr:to>
    <mc:AlternateContent xmlns:mc="http://schemas.openxmlformats.org/markup-compatibility/2006" xmlns:tsle="http://schemas.microsoft.com/office/drawing/2012/timeslicer">
      <mc:Choice Requires="tsle">
        <xdr:graphicFrame macro="">
          <xdr:nvGraphicFramePr>
            <xdr:cNvPr id="9" name="Date">
              <a:extLst>
                <a:ext uri="{FF2B5EF4-FFF2-40B4-BE49-F238E27FC236}">
                  <a16:creationId xmlns:a16="http://schemas.microsoft.com/office/drawing/2014/main" id="{97B7CC08-C049-4AED-8A6C-1630627553ED}"/>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4594860" y="5204460"/>
              <a:ext cx="333756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25</xdr:col>
      <xdr:colOff>528918</xdr:colOff>
      <xdr:row>32</xdr:row>
      <xdr:rowOff>145551</xdr:rowOff>
    </xdr:to>
    <xdr:sp macro="" textlink="">
      <xdr:nvSpPr>
        <xdr:cNvPr id="2" name="Rectangle: Rounded Corners 1">
          <a:extLst>
            <a:ext uri="{FF2B5EF4-FFF2-40B4-BE49-F238E27FC236}">
              <a16:creationId xmlns:a16="http://schemas.microsoft.com/office/drawing/2014/main" id="{DB329A9F-6F1A-46F5-9D15-516AD6286465}"/>
            </a:ext>
          </a:extLst>
        </xdr:cNvPr>
        <xdr:cNvSpPr/>
      </xdr:nvSpPr>
      <xdr:spPr>
        <a:xfrm>
          <a:off x="0" y="0"/>
          <a:ext cx="15726109" cy="5899079"/>
        </a:xfrm>
        <a:prstGeom prst="roundRect">
          <a:avLst>
            <a:gd name="adj" fmla="val 1500"/>
          </a:avLst>
        </a:prstGeom>
        <a:solidFill>
          <a:schemeClr val="accent5">
            <a:lumMod val="40000"/>
            <a:lumOff val="60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t>753</a:t>
          </a:r>
        </a:p>
      </xdr:txBody>
    </xdr:sp>
    <xdr:clientData/>
  </xdr:twoCellAnchor>
  <xdr:twoCellAnchor>
    <xdr:from>
      <xdr:col>0</xdr:col>
      <xdr:colOff>85618</xdr:colOff>
      <xdr:row>0</xdr:row>
      <xdr:rowOff>85618</xdr:rowOff>
    </xdr:from>
    <xdr:to>
      <xdr:col>25</xdr:col>
      <xdr:colOff>453775</xdr:colOff>
      <xdr:row>5</xdr:row>
      <xdr:rowOff>111302</xdr:rowOff>
    </xdr:to>
    <xdr:sp macro="" textlink="">
      <xdr:nvSpPr>
        <xdr:cNvPr id="3" name="Rectangle: Rounded Corners 2">
          <a:extLst>
            <a:ext uri="{FF2B5EF4-FFF2-40B4-BE49-F238E27FC236}">
              <a16:creationId xmlns:a16="http://schemas.microsoft.com/office/drawing/2014/main" id="{AAA72715-ED77-4FF9-B232-AA16F8C17D3E}"/>
            </a:ext>
          </a:extLst>
        </xdr:cNvPr>
        <xdr:cNvSpPr/>
      </xdr:nvSpPr>
      <xdr:spPr>
        <a:xfrm>
          <a:off x="85618" y="85618"/>
          <a:ext cx="15565348" cy="924673"/>
        </a:xfrm>
        <a:prstGeom prst="roundRect">
          <a:avLst>
            <a:gd name="adj" fmla="val 11404"/>
          </a:avLst>
        </a:prstGeom>
        <a:solidFill>
          <a:schemeClr val="accent5">
            <a:lumMod val="50000"/>
          </a:schemeClr>
        </a:solidFill>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582203</xdr:colOff>
      <xdr:row>1</xdr:row>
      <xdr:rowOff>102741</xdr:rowOff>
    </xdr:from>
    <xdr:to>
      <xdr:col>17</xdr:col>
      <xdr:colOff>479461</xdr:colOff>
      <xdr:row>4</xdr:row>
      <xdr:rowOff>179797</xdr:rowOff>
    </xdr:to>
    <xdr:sp macro="" textlink="">
      <xdr:nvSpPr>
        <xdr:cNvPr id="4" name="TextBox 3">
          <a:extLst>
            <a:ext uri="{FF2B5EF4-FFF2-40B4-BE49-F238E27FC236}">
              <a16:creationId xmlns:a16="http://schemas.microsoft.com/office/drawing/2014/main" id="{8E88829D-0954-4644-BBCD-3BD2B7DCDB6B}"/>
            </a:ext>
          </a:extLst>
        </xdr:cNvPr>
        <xdr:cNvSpPr txBox="1"/>
      </xdr:nvSpPr>
      <xdr:spPr>
        <a:xfrm>
          <a:off x="4837416" y="282539"/>
          <a:ext cx="5976135" cy="616449"/>
        </a:xfrm>
        <a:prstGeom prst="rect">
          <a:avLst/>
        </a:prstGeom>
        <a:solidFill>
          <a:schemeClr val="accent5">
            <a:lumMod val="50000"/>
          </a:schemeClr>
        </a:solidFill>
        <a:ln w="9525" cmpd="sng">
          <a:noFill/>
        </a:ln>
        <a:effectLst>
          <a:outerShdw blurRad="50800" dist="38100" dir="5400000" algn="t"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1" i="1" u="none">
              <a:solidFill>
                <a:schemeClr val="bg1"/>
              </a:solidFill>
            </a:rPr>
            <a:t>DASHBOARD</a:t>
          </a:r>
        </a:p>
      </xdr:txBody>
    </xdr:sp>
    <xdr:clientData/>
  </xdr:twoCellAnchor>
  <xdr:twoCellAnchor editAs="oneCell">
    <xdr:from>
      <xdr:col>9</xdr:col>
      <xdr:colOff>590764</xdr:colOff>
      <xdr:row>1</xdr:row>
      <xdr:rowOff>126714</xdr:rowOff>
    </xdr:from>
    <xdr:to>
      <xdr:col>10</xdr:col>
      <xdr:colOff>565079</xdr:colOff>
      <xdr:row>4</xdr:row>
      <xdr:rowOff>169523</xdr:rowOff>
    </xdr:to>
    <xdr:pic>
      <xdr:nvPicPr>
        <xdr:cNvPr id="6" name="Graphic 5" descr="Bar graph with upward trend">
          <a:extLst>
            <a:ext uri="{FF2B5EF4-FFF2-40B4-BE49-F238E27FC236}">
              <a16:creationId xmlns:a16="http://schemas.microsoft.com/office/drawing/2014/main" id="{C5087770-F693-40F0-95CA-14736B28D8A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6061753" y="306512"/>
          <a:ext cx="582202" cy="582202"/>
        </a:xfrm>
        <a:prstGeom prst="rect">
          <a:avLst/>
        </a:prstGeom>
      </xdr:spPr>
    </xdr:pic>
    <xdr:clientData/>
  </xdr:twoCellAnchor>
  <xdr:twoCellAnchor editAs="oneCell">
    <xdr:from>
      <xdr:col>14</xdr:col>
      <xdr:colOff>462338</xdr:colOff>
      <xdr:row>1</xdr:row>
      <xdr:rowOff>136991</xdr:rowOff>
    </xdr:from>
    <xdr:to>
      <xdr:col>15</xdr:col>
      <xdr:colOff>428090</xdr:colOff>
      <xdr:row>4</xdr:row>
      <xdr:rowOff>171238</xdr:rowOff>
    </xdr:to>
    <xdr:pic>
      <xdr:nvPicPr>
        <xdr:cNvPr id="9" name="Graphic 8" descr="Bar graph with upward trend RTL">
          <a:extLst>
            <a:ext uri="{FF2B5EF4-FFF2-40B4-BE49-F238E27FC236}">
              <a16:creationId xmlns:a16="http://schemas.microsoft.com/office/drawing/2014/main" id="{81B92C28-205D-4E5F-AA26-A141B3212DF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8972765" y="316789"/>
          <a:ext cx="573640" cy="573640"/>
        </a:xfrm>
        <a:prstGeom prst="rect">
          <a:avLst/>
        </a:prstGeom>
      </xdr:spPr>
    </xdr:pic>
    <xdr:clientData/>
  </xdr:twoCellAnchor>
  <xdr:twoCellAnchor editAs="oneCell">
    <xdr:from>
      <xdr:col>0</xdr:col>
      <xdr:colOff>174049</xdr:colOff>
      <xdr:row>6</xdr:row>
      <xdr:rowOff>37066</xdr:rowOff>
    </xdr:from>
    <xdr:to>
      <xdr:col>3</xdr:col>
      <xdr:colOff>179186</xdr:colOff>
      <xdr:row>13</xdr:row>
      <xdr:rowOff>162673</xdr:rowOff>
    </xdr:to>
    <mc:AlternateContent xmlns:mc="http://schemas.openxmlformats.org/markup-compatibility/2006" xmlns:a14="http://schemas.microsoft.com/office/drawing/2010/main">
      <mc:Choice Requires="a14">
        <xdr:graphicFrame macro="">
          <xdr:nvGraphicFramePr>
            <xdr:cNvPr id="7" name="Region 1">
              <a:extLst>
                <a:ext uri="{FF2B5EF4-FFF2-40B4-BE49-F238E27FC236}">
                  <a16:creationId xmlns:a16="http://schemas.microsoft.com/office/drawing/2014/main" id="{30CAAA4C-93D8-4929-A760-7310F8525E1F}"/>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74049" y="1115853"/>
              <a:ext cx="1828800" cy="13841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182634</xdr:colOff>
      <xdr:row>6</xdr:row>
      <xdr:rowOff>45627</xdr:rowOff>
    </xdr:from>
    <xdr:to>
      <xdr:col>25</xdr:col>
      <xdr:colOff>480756</xdr:colOff>
      <xdr:row>13</xdr:row>
      <xdr:rowOff>158643</xdr:rowOff>
    </xdr:to>
    <mc:AlternateContent xmlns:mc="http://schemas.openxmlformats.org/markup-compatibility/2006" xmlns:tsle="http://schemas.microsoft.com/office/drawing/2012/timeslicer">
      <mc:Choice Requires="tsle">
        <xdr:graphicFrame macro="">
          <xdr:nvGraphicFramePr>
            <xdr:cNvPr id="8" name="Date 1">
              <a:extLst>
                <a:ext uri="{FF2B5EF4-FFF2-40B4-BE49-F238E27FC236}">
                  <a16:creationId xmlns:a16="http://schemas.microsoft.com/office/drawing/2014/main" id="{37FE45CD-349D-42DF-90B0-37F2473FEDC3}"/>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2340387" y="1124414"/>
              <a:ext cx="333756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3</xdr:col>
      <xdr:colOff>582202</xdr:colOff>
      <xdr:row>7</xdr:row>
      <xdr:rowOff>42808</xdr:rowOff>
    </xdr:from>
    <xdr:to>
      <xdr:col>7</xdr:col>
      <xdr:colOff>188360</xdr:colOff>
      <xdr:row>12</xdr:row>
      <xdr:rowOff>179797</xdr:rowOff>
    </xdr:to>
    <xdr:sp macro="" textlink="">
      <xdr:nvSpPr>
        <xdr:cNvPr id="5" name="Rectangle: Rounded Corners 4">
          <a:extLst>
            <a:ext uri="{FF2B5EF4-FFF2-40B4-BE49-F238E27FC236}">
              <a16:creationId xmlns:a16="http://schemas.microsoft.com/office/drawing/2014/main" id="{F29047D4-3F9C-4D17-8187-9B68C8DBCF17}"/>
            </a:ext>
          </a:extLst>
        </xdr:cNvPr>
        <xdr:cNvSpPr/>
      </xdr:nvSpPr>
      <xdr:spPr>
        <a:xfrm>
          <a:off x="2405865" y="1301392"/>
          <a:ext cx="2037708" cy="1035978"/>
        </a:xfrm>
        <a:prstGeom prst="roundRect">
          <a:avLst/>
        </a:prstGeom>
        <a:solidFill>
          <a:schemeClr val="accent5">
            <a:lumMod val="50000"/>
          </a:schemeClr>
        </a:solidFill>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41099</xdr:colOff>
      <xdr:row>7</xdr:row>
      <xdr:rowOff>58220</xdr:rowOff>
    </xdr:from>
    <xdr:to>
      <xdr:col>11</xdr:col>
      <xdr:colOff>255144</xdr:colOff>
      <xdr:row>13</xdr:row>
      <xdr:rowOff>15411</xdr:rowOff>
    </xdr:to>
    <xdr:sp macro="" textlink="">
      <xdr:nvSpPr>
        <xdr:cNvPr id="10" name="Rectangle: Rounded Corners 9">
          <a:extLst>
            <a:ext uri="{FF2B5EF4-FFF2-40B4-BE49-F238E27FC236}">
              <a16:creationId xmlns:a16="http://schemas.microsoft.com/office/drawing/2014/main" id="{7F0B2CD9-F1E3-40B2-ABA9-04715BF1860F}"/>
            </a:ext>
          </a:extLst>
        </xdr:cNvPr>
        <xdr:cNvSpPr/>
      </xdr:nvSpPr>
      <xdr:spPr>
        <a:xfrm>
          <a:off x="4904200" y="1316804"/>
          <a:ext cx="2037708" cy="1035978"/>
        </a:xfrm>
        <a:prstGeom prst="roundRect">
          <a:avLst/>
        </a:prstGeom>
        <a:solidFill>
          <a:schemeClr val="accent5">
            <a:lumMod val="50000"/>
          </a:schemeClr>
        </a:solidFill>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116440</xdr:colOff>
      <xdr:row>7</xdr:row>
      <xdr:rowOff>56506</xdr:rowOff>
    </xdr:from>
    <xdr:to>
      <xdr:col>15</xdr:col>
      <xdr:colOff>330485</xdr:colOff>
      <xdr:row>13</xdr:row>
      <xdr:rowOff>13697</xdr:rowOff>
    </xdr:to>
    <xdr:sp macro="" textlink="">
      <xdr:nvSpPr>
        <xdr:cNvPr id="11" name="Rectangle: Rounded Corners 10">
          <a:extLst>
            <a:ext uri="{FF2B5EF4-FFF2-40B4-BE49-F238E27FC236}">
              <a16:creationId xmlns:a16="http://schemas.microsoft.com/office/drawing/2014/main" id="{85C17535-50F7-4833-A450-AD48400A7988}"/>
            </a:ext>
          </a:extLst>
        </xdr:cNvPr>
        <xdr:cNvSpPr/>
      </xdr:nvSpPr>
      <xdr:spPr>
        <a:xfrm>
          <a:off x="7411092" y="1315090"/>
          <a:ext cx="2037708" cy="1035978"/>
        </a:xfrm>
        <a:prstGeom prst="roundRect">
          <a:avLst/>
        </a:prstGeom>
        <a:solidFill>
          <a:schemeClr val="accent5">
            <a:lumMod val="50000"/>
          </a:schemeClr>
        </a:solidFill>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166100</xdr:colOff>
      <xdr:row>7</xdr:row>
      <xdr:rowOff>63356</xdr:rowOff>
    </xdr:from>
    <xdr:to>
      <xdr:col>19</xdr:col>
      <xdr:colOff>380145</xdr:colOff>
      <xdr:row>13</xdr:row>
      <xdr:rowOff>20547</xdr:rowOff>
    </xdr:to>
    <xdr:sp macro="" textlink="">
      <xdr:nvSpPr>
        <xdr:cNvPr id="12" name="Rectangle: Rounded Corners 11">
          <a:extLst>
            <a:ext uri="{FF2B5EF4-FFF2-40B4-BE49-F238E27FC236}">
              <a16:creationId xmlns:a16="http://schemas.microsoft.com/office/drawing/2014/main" id="{1288B863-1EFD-4459-9C14-0AD80905B897}"/>
            </a:ext>
          </a:extLst>
        </xdr:cNvPr>
        <xdr:cNvSpPr/>
      </xdr:nvSpPr>
      <xdr:spPr>
        <a:xfrm>
          <a:off x="9892302" y="1321940"/>
          <a:ext cx="2037708" cy="1035978"/>
        </a:xfrm>
        <a:prstGeom prst="roundRect">
          <a:avLst/>
        </a:prstGeom>
        <a:solidFill>
          <a:schemeClr val="accent5">
            <a:lumMod val="50000"/>
          </a:schemeClr>
        </a:solidFill>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119866</xdr:colOff>
      <xdr:row>8</xdr:row>
      <xdr:rowOff>42809</xdr:rowOff>
    </xdr:from>
    <xdr:to>
      <xdr:col>7</xdr:col>
      <xdr:colOff>59934</xdr:colOff>
      <xdr:row>10</xdr:row>
      <xdr:rowOff>42808</xdr:rowOff>
    </xdr:to>
    <xdr:sp macro="" textlink="">
      <xdr:nvSpPr>
        <xdr:cNvPr id="14" name="TextBox 13">
          <a:extLst>
            <a:ext uri="{FF2B5EF4-FFF2-40B4-BE49-F238E27FC236}">
              <a16:creationId xmlns:a16="http://schemas.microsoft.com/office/drawing/2014/main" id="{9D3E60E9-4353-4FAA-BBDF-8DA3E55726F3}"/>
            </a:ext>
          </a:extLst>
        </xdr:cNvPr>
        <xdr:cNvSpPr txBox="1"/>
      </xdr:nvSpPr>
      <xdr:spPr>
        <a:xfrm>
          <a:off x="2551417" y="1481191"/>
          <a:ext cx="1763730" cy="359595"/>
        </a:xfrm>
        <a:prstGeom prst="rect">
          <a:avLst/>
        </a:prstGeom>
        <a:solidFill>
          <a:schemeClr val="accent5">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700" b="1">
              <a:solidFill>
                <a:schemeClr val="bg1"/>
              </a:solidFill>
            </a:rPr>
            <a:t>TOTAL QUANTITY</a:t>
          </a:r>
        </a:p>
      </xdr:txBody>
    </xdr:sp>
    <xdr:clientData/>
  </xdr:twoCellAnchor>
  <xdr:twoCellAnchor>
    <xdr:from>
      <xdr:col>4</xdr:col>
      <xdr:colOff>102740</xdr:colOff>
      <xdr:row>9</xdr:row>
      <xdr:rowOff>171235</xdr:rowOff>
    </xdr:from>
    <xdr:to>
      <xdr:col>7</xdr:col>
      <xdr:colOff>59932</xdr:colOff>
      <xdr:row>11</xdr:row>
      <xdr:rowOff>162673</xdr:rowOff>
    </xdr:to>
    <xdr:sp macro="" textlink="Dataset!S2">
      <xdr:nvSpPr>
        <xdr:cNvPr id="15" name="TextBox 14">
          <a:extLst>
            <a:ext uri="{FF2B5EF4-FFF2-40B4-BE49-F238E27FC236}">
              <a16:creationId xmlns:a16="http://schemas.microsoft.com/office/drawing/2014/main" id="{64A7DFF0-D60F-4FC4-892C-CF4B02F8D044}"/>
            </a:ext>
          </a:extLst>
        </xdr:cNvPr>
        <xdr:cNvSpPr txBox="1"/>
      </xdr:nvSpPr>
      <xdr:spPr>
        <a:xfrm>
          <a:off x="2534291" y="1789415"/>
          <a:ext cx="1780854" cy="351033"/>
        </a:xfrm>
        <a:prstGeom prst="rect">
          <a:avLst/>
        </a:prstGeom>
        <a:solidFill>
          <a:schemeClr val="accent5">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9D1660F-EB59-44F4-BD88-2C11C6BBCDF2}" type="TxLink">
            <a:rPr lang="en-US" sz="1870" b="1" i="0" u="none" strike="noStrike">
              <a:solidFill>
                <a:schemeClr val="bg1"/>
              </a:solidFill>
              <a:latin typeface="Calibri"/>
              <a:ea typeface="Calibri"/>
              <a:cs typeface="Calibri"/>
            </a:rPr>
            <a:pPr algn="ctr"/>
            <a:t>753</a:t>
          </a:fld>
          <a:endParaRPr lang="en-IN" sz="1870" b="1">
            <a:solidFill>
              <a:schemeClr val="bg1"/>
            </a:solidFill>
          </a:endParaRPr>
        </a:p>
      </xdr:txBody>
    </xdr:sp>
    <xdr:clientData/>
  </xdr:twoCellAnchor>
  <xdr:twoCellAnchor>
    <xdr:from>
      <xdr:col>8</xdr:col>
      <xdr:colOff>179797</xdr:colOff>
      <xdr:row>8</xdr:row>
      <xdr:rowOff>51370</xdr:rowOff>
    </xdr:from>
    <xdr:to>
      <xdr:col>11</xdr:col>
      <xdr:colOff>162674</xdr:colOff>
      <xdr:row>10</xdr:row>
      <xdr:rowOff>17123</xdr:rowOff>
    </xdr:to>
    <xdr:sp macro="" textlink="">
      <xdr:nvSpPr>
        <xdr:cNvPr id="16" name="TextBox 15">
          <a:extLst>
            <a:ext uri="{FF2B5EF4-FFF2-40B4-BE49-F238E27FC236}">
              <a16:creationId xmlns:a16="http://schemas.microsoft.com/office/drawing/2014/main" id="{2B5EDBF3-9FC7-468C-BDBD-7024D37C1764}"/>
            </a:ext>
          </a:extLst>
        </xdr:cNvPr>
        <xdr:cNvSpPr txBox="1"/>
      </xdr:nvSpPr>
      <xdr:spPr>
        <a:xfrm>
          <a:off x="5042898" y="1489752"/>
          <a:ext cx="1806540" cy="325349"/>
        </a:xfrm>
        <a:prstGeom prst="rect">
          <a:avLst/>
        </a:prstGeom>
        <a:solidFill>
          <a:schemeClr val="accent5">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80" b="1">
              <a:solidFill>
                <a:schemeClr val="bg1"/>
              </a:solidFill>
            </a:rPr>
            <a:t>TOTAL UNIT PRICE</a:t>
          </a:r>
        </a:p>
        <a:p>
          <a:endParaRPr lang="en-IN" sz="1100"/>
        </a:p>
      </xdr:txBody>
    </xdr:sp>
    <xdr:clientData/>
  </xdr:twoCellAnchor>
  <xdr:twoCellAnchor>
    <xdr:from>
      <xdr:col>8</xdr:col>
      <xdr:colOff>214045</xdr:colOff>
      <xdr:row>9</xdr:row>
      <xdr:rowOff>171236</xdr:rowOff>
    </xdr:from>
    <xdr:to>
      <xdr:col>11</xdr:col>
      <xdr:colOff>128427</xdr:colOff>
      <xdr:row>11</xdr:row>
      <xdr:rowOff>145551</xdr:rowOff>
    </xdr:to>
    <xdr:sp macro="" textlink="Dataset!T2">
      <xdr:nvSpPr>
        <xdr:cNvPr id="17" name="TextBox 16">
          <a:extLst>
            <a:ext uri="{FF2B5EF4-FFF2-40B4-BE49-F238E27FC236}">
              <a16:creationId xmlns:a16="http://schemas.microsoft.com/office/drawing/2014/main" id="{862A4086-DCDA-4145-A0BB-0F08C297B2AA}"/>
            </a:ext>
          </a:extLst>
        </xdr:cNvPr>
        <xdr:cNvSpPr txBox="1"/>
      </xdr:nvSpPr>
      <xdr:spPr>
        <a:xfrm>
          <a:off x="5077146" y="1789416"/>
          <a:ext cx="1738045" cy="333910"/>
        </a:xfrm>
        <a:prstGeom prst="rect">
          <a:avLst/>
        </a:prstGeom>
        <a:solidFill>
          <a:schemeClr val="accent5">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A7AEF24-279E-435E-A0B2-282077E54B5A}" type="TxLink">
            <a:rPr lang="en-US" sz="1800" b="1" i="0" u="none" strike="noStrike">
              <a:solidFill>
                <a:schemeClr val="bg1"/>
              </a:solidFill>
              <a:latin typeface="Calibri"/>
              <a:ea typeface="Calibri"/>
              <a:cs typeface="Calibri"/>
            </a:rPr>
            <a:pPr algn="ctr"/>
            <a:t>74167.5</a:t>
          </a:fld>
          <a:endParaRPr lang="en-IN" sz="1800" b="1">
            <a:solidFill>
              <a:schemeClr val="bg1"/>
            </a:solidFill>
          </a:endParaRPr>
        </a:p>
      </xdr:txBody>
    </xdr:sp>
    <xdr:clientData/>
  </xdr:twoCellAnchor>
  <xdr:twoCellAnchor>
    <xdr:from>
      <xdr:col>12</xdr:col>
      <xdr:colOff>256852</xdr:colOff>
      <xdr:row>8</xdr:row>
      <xdr:rowOff>42809</xdr:rowOff>
    </xdr:from>
    <xdr:to>
      <xdr:col>15</xdr:col>
      <xdr:colOff>162672</xdr:colOff>
      <xdr:row>10</xdr:row>
      <xdr:rowOff>25685</xdr:rowOff>
    </xdr:to>
    <xdr:sp macro="" textlink="">
      <xdr:nvSpPr>
        <xdr:cNvPr id="18" name="TextBox 17">
          <a:extLst>
            <a:ext uri="{FF2B5EF4-FFF2-40B4-BE49-F238E27FC236}">
              <a16:creationId xmlns:a16="http://schemas.microsoft.com/office/drawing/2014/main" id="{40C4A1A9-4A77-439A-897F-E234F1D12785}"/>
            </a:ext>
          </a:extLst>
        </xdr:cNvPr>
        <xdr:cNvSpPr txBox="1"/>
      </xdr:nvSpPr>
      <xdr:spPr>
        <a:xfrm>
          <a:off x="7551504" y="1481191"/>
          <a:ext cx="1729483" cy="342472"/>
        </a:xfrm>
        <a:prstGeom prst="rect">
          <a:avLst/>
        </a:prstGeom>
        <a:solidFill>
          <a:schemeClr val="accent5">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80" b="1">
              <a:solidFill>
                <a:schemeClr val="bg1"/>
              </a:solidFill>
            </a:rPr>
            <a:t>TOTAL AMOUNT</a:t>
          </a:r>
        </a:p>
      </xdr:txBody>
    </xdr:sp>
    <xdr:clientData/>
  </xdr:twoCellAnchor>
  <xdr:twoCellAnchor>
    <xdr:from>
      <xdr:col>12</xdr:col>
      <xdr:colOff>325349</xdr:colOff>
      <xdr:row>9</xdr:row>
      <xdr:rowOff>154112</xdr:rowOff>
    </xdr:from>
    <xdr:to>
      <xdr:col>15</xdr:col>
      <xdr:colOff>68495</xdr:colOff>
      <xdr:row>11</xdr:row>
      <xdr:rowOff>111303</xdr:rowOff>
    </xdr:to>
    <xdr:sp macro="" textlink="Dataset!U2">
      <xdr:nvSpPr>
        <xdr:cNvPr id="19" name="TextBox 18">
          <a:extLst>
            <a:ext uri="{FF2B5EF4-FFF2-40B4-BE49-F238E27FC236}">
              <a16:creationId xmlns:a16="http://schemas.microsoft.com/office/drawing/2014/main" id="{D1F565EB-9F5F-48AF-8022-CBEFD010CE43}"/>
            </a:ext>
          </a:extLst>
        </xdr:cNvPr>
        <xdr:cNvSpPr txBox="1"/>
      </xdr:nvSpPr>
      <xdr:spPr>
        <a:xfrm>
          <a:off x="7620001" y="1772292"/>
          <a:ext cx="1566809" cy="316786"/>
        </a:xfrm>
        <a:prstGeom prst="rect">
          <a:avLst/>
        </a:prstGeom>
        <a:solidFill>
          <a:schemeClr val="accent5">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8ADF023-B00B-4AE2-93BF-1A3B7DFA0729}" type="TxLink">
            <a:rPr lang="en-US" sz="1800" b="1" i="0" u="none" strike="noStrike">
              <a:solidFill>
                <a:schemeClr val="bg1"/>
              </a:solidFill>
              <a:latin typeface="Calibri"/>
              <a:ea typeface="Calibri"/>
              <a:cs typeface="Calibri"/>
            </a:rPr>
            <a:pPr algn="ctr"/>
            <a:t>229192.47</a:t>
          </a:fld>
          <a:endParaRPr lang="en-IN" sz="1800" b="1">
            <a:solidFill>
              <a:schemeClr val="bg1"/>
            </a:solidFill>
          </a:endParaRPr>
        </a:p>
      </xdr:txBody>
    </xdr:sp>
    <xdr:clientData/>
  </xdr:twoCellAnchor>
  <xdr:twoCellAnchor>
    <xdr:from>
      <xdr:col>16</xdr:col>
      <xdr:colOff>262594</xdr:colOff>
      <xdr:row>8</xdr:row>
      <xdr:rowOff>68496</xdr:rowOff>
    </xdr:from>
    <xdr:to>
      <xdr:col>19</xdr:col>
      <xdr:colOff>279717</xdr:colOff>
      <xdr:row>10</xdr:row>
      <xdr:rowOff>51372</xdr:rowOff>
    </xdr:to>
    <xdr:sp macro="" textlink="">
      <xdr:nvSpPr>
        <xdr:cNvPr id="20" name="TextBox 19">
          <a:extLst>
            <a:ext uri="{FF2B5EF4-FFF2-40B4-BE49-F238E27FC236}">
              <a16:creationId xmlns:a16="http://schemas.microsoft.com/office/drawing/2014/main" id="{C7683EBE-E50A-405D-8406-C8591391B191}"/>
            </a:ext>
          </a:extLst>
        </xdr:cNvPr>
        <xdr:cNvSpPr txBox="1"/>
      </xdr:nvSpPr>
      <xdr:spPr>
        <a:xfrm>
          <a:off x="9988796" y="1506878"/>
          <a:ext cx="1840786" cy="342472"/>
        </a:xfrm>
        <a:prstGeom prst="rect">
          <a:avLst/>
        </a:prstGeom>
        <a:solidFill>
          <a:schemeClr val="accent5">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70" b="1">
              <a:solidFill>
                <a:schemeClr val="bg1"/>
              </a:solidFill>
            </a:rPr>
            <a:t>MOST PURCHES PRO.</a:t>
          </a:r>
        </a:p>
      </xdr:txBody>
    </xdr:sp>
    <xdr:clientData/>
  </xdr:twoCellAnchor>
  <xdr:twoCellAnchor>
    <xdr:from>
      <xdr:col>16</xdr:col>
      <xdr:colOff>590764</xdr:colOff>
      <xdr:row>9</xdr:row>
      <xdr:rowOff>145550</xdr:rowOff>
    </xdr:from>
    <xdr:to>
      <xdr:col>19</xdr:col>
      <xdr:colOff>351034</xdr:colOff>
      <xdr:row>11</xdr:row>
      <xdr:rowOff>102741</xdr:rowOff>
    </xdr:to>
    <xdr:sp macro="" textlink="Dataset!W2">
      <xdr:nvSpPr>
        <xdr:cNvPr id="21" name="TextBox 20">
          <a:extLst>
            <a:ext uri="{FF2B5EF4-FFF2-40B4-BE49-F238E27FC236}">
              <a16:creationId xmlns:a16="http://schemas.microsoft.com/office/drawing/2014/main" id="{49C5A82D-28CF-4C20-890F-63866142203E}"/>
            </a:ext>
          </a:extLst>
        </xdr:cNvPr>
        <xdr:cNvSpPr txBox="1"/>
      </xdr:nvSpPr>
      <xdr:spPr>
        <a:xfrm>
          <a:off x="10316966" y="1763730"/>
          <a:ext cx="1583933" cy="316786"/>
        </a:xfrm>
        <a:prstGeom prst="rect">
          <a:avLst/>
        </a:prstGeom>
        <a:solidFill>
          <a:schemeClr val="accent5">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DE98A09-9F9E-4E73-9C56-B19B4FD4451A}" type="TxLink">
            <a:rPr lang="en-US" sz="1800" b="1" i="0" u="none" strike="noStrike">
              <a:solidFill>
                <a:schemeClr val="bg1"/>
              </a:solidFill>
              <a:latin typeface="Calibri"/>
              <a:ea typeface="Calibri"/>
              <a:cs typeface="Calibri"/>
            </a:rPr>
            <a:pPr/>
            <a:t>Bookshelf</a:t>
          </a:fld>
          <a:endParaRPr lang="en-IN" sz="1800" b="1">
            <a:solidFill>
              <a:schemeClr val="bg1"/>
            </a:solidFill>
          </a:endParaRPr>
        </a:p>
      </xdr:txBody>
    </xdr:sp>
    <xdr:clientData/>
  </xdr:twoCellAnchor>
  <xdr:twoCellAnchor>
    <xdr:from>
      <xdr:col>0</xdr:col>
      <xdr:colOff>85616</xdr:colOff>
      <xdr:row>14</xdr:row>
      <xdr:rowOff>71314</xdr:rowOff>
    </xdr:from>
    <xdr:to>
      <xdr:col>8</xdr:col>
      <xdr:colOff>376719</xdr:colOff>
      <xdr:row>32</xdr:row>
      <xdr:rowOff>68493</xdr:rowOff>
    </xdr:to>
    <xdr:graphicFrame macro="">
      <xdr:nvGraphicFramePr>
        <xdr:cNvPr id="22" name="Chart 21">
          <a:extLst>
            <a:ext uri="{FF2B5EF4-FFF2-40B4-BE49-F238E27FC236}">
              <a16:creationId xmlns:a16="http://schemas.microsoft.com/office/drawing/2014/main" id="{2582E94E-E228-4E18-88C1-A7DD4F425A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445213</xdr:colOff>
      <xdr:row>14</xdr:row>
      <xdr:rowOff>77055</xdr:rowOff>
    </xdr:from>
    <xdr:to>
      <xdr:col>17</xdr:col>
      <xdr:colOff>128426</xdr:colOff>
      <xdr:row>32</xdr:row>
      <xdr:rowOff>68493</xdr:rowOff>
    </xdr:to>
    <xdr:graphicFrame macro="">
      <xdr:nvGraphicFramePr>
        <xdr:cNvPr id="23" name="Chart 22">
          <a:extLst>
            <a:ext uri="{FF2B5EF4-FFF2-40B4-BE49-F238E27FC236}">
              <a16:creationId xmlns:a16="http://schemas.microsoft.com/office/drawing/2014/main" id="{FF1C238A-12E2-45EB-8F75-9DBA7A0368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17</xdr:col>
      <xdr:colOff>205479</xdr:colOff>
      <xdr:row>14</xdr:row>
      <xdr:rowOff>77054</xdr:rowOff>
    </xdr:from>
    <xdr:to>
      <xdr:col>25</xdr:col>
      <xdr:colOff>462335</xdr:colOff>
      <xdr:row>32</xdr:row>
      <xdr:rowOff>59933</xdr:rowOff>
    </xdr:to>
    <xdr:graphicFrame macro="">
      <xdr:nvGraphicFramePr>
        <xdr:cNvPr id="24" name="Chart 23">
          <a:extLst>
            <a:ext uri="{FF2B5EF4-FFF2-40B4-BE49-F238E27FC236}">
              <a16:creationId xmlns:a16="http://schemas.microsoft.com/office/drawing/2014/main" id="{137A710C-CC57-427D-B6BC-12526F5B33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70.660047337966" createdVersion="6" refreshedVersion="6" minRefreshableVersion="3" recordCount="250" xr:uid="{C65A1BEE-AC65-4716-B21A-E32BC90A62CA}">
  <cacheSource type="worksheet">
    <worksheetSource ref="A1:N251" sheet="Dataset"/>
  </cacheSource>
  <cacheFields count="14">
    <cacheField name="Transaction_ID" numFmtId="0">
      <sharedItems/>
    </cacheField>
    <cacheField name="Date" numFmtId="14">
      <sharedItems containsSemiMixedTypes="0" containsNonDate="0" containsDate="1" containsString="0" minDate="2024-04-11T00:00:00" maxDate="2025-04-12T00:00:00" count="162">
        <d v="2024-04-11T00:00:00"/>
        <d v="2024-04-14T00:00:00"/>
        <d v="2024-04-17T00:00:00"/>
        <d v="2024-04-18T00:00:00"/>
        <d v="2024-04-21T00:00:00"/>
        <d v="2024-04-23T00:00:00"/>
        <d v="2024-04-26T00:00:00"/>
        <d v="2024-04-27T00:00:00"/>
        <d v="2024-04-28T00:00:00"/>
        <d v="2024-04-30T00:00:00"/>
        <d v="2024-05-01T00:00:00"/>
        <d v="2024-05-03T00:00:00"/>
        <d v="2024-05-04T00:00:00"/>
        <d v="2024-05-10T00:00:00"/>
        <d v="2024-05-12T00:00:00"/>
        <d v="2024-05-13T00:00:00"/>
        <d v="2024-05-15T00:00:00"/>
        <d v="2024-05-16T00:00:00"/>
        <d v="2024-05-18T00:00:00"/>
        <d v="2024-05-20T00:00:00"/>
        <d v="2024-05-22T00:00:00"/>
        <d v="2024-05-23T00:00:00"/>
        <d v="2024-05-26T00:00:00"/>
        <d v="2024-05-28T00:00:00"/>
        <d v="2024-05-29T00:00:00"/>
        <d v="2024-05-31T00:00:00"/>
        <d v="2024-06-01T00:00:00"/>
        <d v="2024-06-03T00:00:00"/>
        <d v="2024-06-06T00:00:00"/>
        <d v="2024-06-07T00:00:00"/>
        <d v="2024-06-09T00:00:00"/>
        <d v="2024-06-13T00:00:00"/>
        <d v="2024-06-16T00:00:00"/>
        <d v="2024-06-17T00:00:00"/>
        <d v="2024-06-25T00:00:00"/>
        <d v="2024-06-26T00:00:00"/>
        <d v="2024-06-28T00:00:00"/>
        <d v="2024-06-29T00:00:00"/>
        <d v="2024-07-01T00:00:00"/>
        <d v="2024-07-02T00:00:00"/>
        <d v="2024-07-03T00:00:00"/>
        <d v="2024-07-08T00:00:00"/>
        <d v="2024-07-09T00:00:00"/>
        <d v="2024-07-11T00:00:00"/>
        <d v="2024-07-14T00:00:00"/>
        <d v="2024-07-17T00:00:00"/>
        <d v="2024-07-18T00:00:00"/>
        <d v="2024-07-23T00:00:00"/>
        <d v="2024-07-24T00:00:00"/>
        <d v="2024-07-25T00:00:00"/>
        <d v="2024-07-27T00:00:00"/>
        <d v="2024-07-28T00:00:00"/>
        <d v="2024-07-30T00:00:00"/>
        <d v="2024-07-31T00:00:00"/>
        <d v="2024-08-05T00:00:00"/>
        <d v="2024-08-06T00:00:00"/>
        <d v="2024-08-09T00:00:00"/>
        <d v="2024-08-11T00:00:00"/>
        <d v="2024-08-13T00:00:00"/>
        <d v="2024-08-15T00:00:00"/>
        <d v="2024-08-18T00:00:00"/>
        <d v="2024-08-19T00:00:00"/>
        <d v="2024-08-22T00:00:00"/>
        <d v="2024-08-24T00:00:00"/>
        <d v="2024-08-28T00:00:00"/>
        <d v="2024-08-30T00:00:00"/>
        <d v="2024-09-02T00:00:00"/>
        <d v="2024-09-03T00:00:00"/>
        <d v="2024-09-06T00:00:00"/>
        <d v="2024-09-09T00:00:00"/>
        <d v="2024-09-10T00:00:00"/>
        <d v="2024-09-12T00:00:00"/>
        <d v="2024-09-13T00:00:00"/>
        <d v="2024-09-15T00:00:00"/>
        <d v="2024-09-16T00:00:00"/>
        <d v="2024-09-19T00:00:00"/>
        <d v="2024-09-24T00:00:00"/>
        <d v="2024-09-25T00:00:00"/>
        <d v="2024-09-28T00:00:00"/>
        <d v="2024-09-29T00:00:00"/>
        <d v="2024-10-01T00:00:00"/>
        <d v="2024-10-07T00:00:00"/>
        <d v="2024-10-08T00:00:00"/>
        <d v="2024-10-11T00:00:00"/>
        <d v="2024-10-14T00:00:00"/>
        <d v="2024-10-16T00:00:00"/>
        <d v="2024-10-18T00:00:00"/>
        <d v="2024-10-21T00:00:00"/>
        <d v="2024-10-23T00:00:00"/>
        <d v="2024-10-24T00:00:00"/>
        <d v="2024-10-27T00:00:00"/>
        <d v="2024-11-01T00:00:00"/>
        <d v="2024-11-04T00:00:00"/>
        <d v="2024-11-07T00:00:00"/>
        <d v="2024-11-08T00:00:00"/>
        <d v="2024-11-09T00:00:00"/>
        <d v="2024-11-11T00:00:00"/>
        <d v="2024-11-12T00:00:00"/>
        <d v="2024-11-17T00:00:00"/>
        <d v="2024-11-21T00:00:00"/>
        <d v="2024-11-23T00:00:00"/>
        <d v="2024-11-26T00:00:00"/>
        <d v="2024-11-27T00:00:00"/>
        <d v="2024-12-01T00:00:00"/>
        <d v="2024-12-03T00:00:00"/>
        <d v="2024-12-04T00:00:00"/>
        <d v="2024-12-09T00:00:00"/>
        <d v="2024-12-10T00:00:00"/>
        <d v="2024-12-12T00:00:00"/>
        <d v="2024-12-15T00:00:00"/>
        <d v="2024-12-18T00:00:00"/>
        <d v="2024-12-19T00:00:00"/>
        <d v="2024-12-20T00:00:00"/>
        <d v="2024-12-22T00:00:00"/>
        <d v="2024-12-23T00:00:00"/>
        <d v="2024-12-28T00:00:00"/>
        <d v="2024-12-29T00:00:00"/>
        <d v="2024-12-31T00:00:00"/>
        <d v="2025-01-03T00:00:00"/>
        <d v="2025-01-04T00:00:00"/>
        <d v="2025-01-06T00:00:00"/>
        <d v="2025-01-09T00:00:00"/>
        <d v="2025-01-10T00:00:00"/>
        <d v="2025-01-11T00:00:00"/>
        <d v="2025-01-13T00:00:00"/>
        <d v="2025-01-14T00:00:00"/>
        <d v="2025-01-16T00:00:00"/>
        <d v="2025-01-19T00:00:00"/>
        <d v="2025-01-25T00:00:00"/>
        <d v="2025-01-26T00:00:00"/>
        <d v="2025-01-29T00:00:00"/>
        <d v="2025-01-31T00:00:00"/>
        <d v="2025-02-04T00:00:00"/>
        <d v="2025-02-07T00:00:00"/>
        <d v="2025-02-08T00:00:00"/>
        <d v="2025-02-13T00:00:00"/>
        <d v="2025-02-16T00:00:00"/>
        <d v="2025-02-17T00:00:00"/>
        <d v="2025-02-19T00:00:00"/>
        <d v="2025-02-20T00:00:00"/>
        <d v="2025-02-22T00:00:00"/>
        <d v="2025-02-23T00:00:00"/>
        <d v="2025-02-24T00:00:00"/>
        <d v="2025-02-27T00:00:00"/>
        <d v="2025-03-02T00:00:00"/>
        <d v="2025-03-04T00:00:00"/>
        <d v="2025-03-05T00:00:00"/>
        <d v="2025-03-07T00:00:00"/>
        <d v="2025-03-08T00:00:00"/>
        <d v="2025-03-10T00:00:00"/>
        <d v="2025-03-18T00:00:00"/>
        <d v="2025-03-21T00:00:00"/>
        <d v="2025-03-23T00:00:00"/>
        <d v="2025-03-24T00:00:00"/>
        <d v="2025-03-27T00:00:00"/>
        <d v="2025-03-29T00:00:00"/>
        <d v="2025-03-30T00:00:00"/>
        <d v="2025-04-01T00:00:00"/>
        <d v="2025-04-02T00:00:00"/>
        <d v="2025-04-08T00:00:00"/>
        <d v="2025-04-09T00:00:00"/>
        <d v="2025-04-11T00:00:00"/>
      </sharedItems>
    </cacheField>
    <cacheField name="Customer_ID" numFmtId="0">
      <sharedItems/>
    </cacheField>
    <cacheField name="Customer_Name" numFmtId="0">
      <sharedItems count="50">
        <s v="Paul Baker"/>
        <s v="Joseph Jackson"/>
        <s v="Kevin Scott"/>
        <s v="Kathleen Bennett"/>
        <s v="Michael Brown"/>
        <s v="Dorothy Nelson"/>
        <s v="Charles Allen"/>
        <s v="Robert Thomas"/>
        <s v="Karen Hill"/>
        <s v="Susan Green"/>
        <s v="Peter Richardson"/>
        <s v="Dennis Gray"/>
        <s v="Michelle Rogers"/>
        <s v="George Adams"/>
        <s v="Mark Carter"/>
        <s v="Maria Garcia"/>
        <s v="Virginia Sanders"/>
        <s v="Barbara Young"/>
        <s v="Patricia Moore"/>
        <s v="Cynthia Price"/>
        <s v="Nancy Collins"/>
        <s v="Linda Martin"/>
        <s v="Helen Roberts"/>
        <s v="Edward Mitchell"/>
        <s v="Lisa Anderson"/>
        <s v="Emma Wilson"/>
        <s v="Steven Turner"/>
        <s v="Jennifer Taylor"/>
        <s v="Harry Morgan"/>
        <s v="Daniel King"/>
        <s v="Sharon Butler"/>
        <s v="Sarah Davis"/>
        <s v="Betty Campbell"/>
        <s v="Julie Foster"/>
        <s v="Raymond Ross"/>
        <s v="David Martinez"/>
        <s v="Margaret Wright"/>
        <s v="Frank Torres"/>
        <s v="Gerald Murphy"/>
        <s v="Elizabeth Hall"/>
        <s v="Lawrence Reed"/>
        <s v="Carol Evans"/>
        <s v="Sandra Phillips"/>
        <s v="Ruth Brooks"/>
        <s v="William White"/>
        <s v="Richard Lee"/>
        <s v="Douglas Watson"/>
        <s v="James Johnson"/>
        <s v="Arthur Edwards"/>
        <s v="John Smith"/>
      </sharedItems>
    </cacheField>
    <cacheField name="Product_ID" numFmtId="0">
      <sharedItems/>
    </cacheField>
    <cacheField name="Product_Name" numFmtId="0">
      <sharedItems/>
    </cacheField>
    <cacheField name="Category" numFmtId="0">
      <sharedItems/>
    </cacheField>
    <cacheField name="Quantity" numFmtId="0">
      <sharedItems containsSemiMixedTypes="0" containsString="0" containsNumber="1" containsInteger="1" minValue="1" maxValue="5"/>
    </cacheField>
    <cacheField name="Unit_Price" numFmtId="0">
      <sharedItems containsSemiMixedTypes="0" containsString="0" containsNumber="1" minValue="59.99" maxValue="899.99"/>
    </cacheField>
    <cacheField name="Payment_Method" numFmtId="0">
      <sharedItems/>
    </cacheField>
    <cacheField name="Region" numFmtId="0">
      <sharedItems count="5">
        <s v="Central"/>
        <s v="South"/>
        <s v="North"/>
        <s v="West"/>
        <s v="East"/>
      </sharedItems>
    </cacheField>
    <cacheField name="Customer_Segment" numFmtId="0">
      <sharedItems/>
    </cacheField>
    <cacheField name="Customer_Since" numFmtId="14">
      <sharedItems containsSemiMixedTypes="0" containsNonDate="0" containsDate="1" containsString="0" minDate="2021-07-18T00:00:00" maxDate="2024-04-12T00:00:00"/>
    </cacheField>
    <cacheField name="Total_Amount" numFmtId="0">
      <sharedItems containsSemiMixedTypes="0" containsString="0" containsNumber="1" minValue="59.99" maxValue="4499.95"/>
    </cacheField>
  </cacheFields>
  <extLst>
    <ext xmlns:x14="http://schemas.microsoft.com/office/spreadsheetml/2009/9/main" uri="{725AE2AE-9491-48be-B2B4-4EB974FC3084}">
      <x14:pivotCacheDefinition pivotCacheId="177716563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70.671579398149" createdVersion="6" refreshedVersion="6" minRefreshableVersion="3" recordCount="250" xr:uid="{F450B88F-7D13-4FCE-989A-580EAEE78F68}">
  <cacheSource type="worksheet">
    <worksheetSource ref="D1:N251" sheet="Dataset"/>
  </cacheSource>
  <cacheFields count="11">
    <cacheField name="Customer_Name" numFmtId="0">
      <sharedItems/>
    </cacheField>
    <cacheField name="Product_ID" numFmtId="0">
      <sharedItems/>
    </cacheField>
    <cacheField name="Product_Name" numFmtId="0">
      <sharedItems/>
    </cacheField>
    <cacheField name="Category" numFmtId="0">
      <sharedItems count="3">
        <s v="Electronics"/>
        <s v="Appliances"/>
        <s v="Furniture"/>
      </sharedItems>
    </cacheField>
    <cacheField name="Quantity" numFmtId="0">
      <sharedItems containsSemiMixedTypes="0" containsString="0" containsNumber="1" containsInteger="1" minValue="1" maxValue="5"/>
    </cacheField>
    <cacheField name="Unit_Price" numFmtId="0">
      <sharedItems containsSemiMixedTypes="0" containsString="0" containsNumber="1" minValue="59.99" maxValue="899.99"/>
    </cacheField>
    <cacheField name="Payment_Method" numFmtId="0">
      <sharedItems/>
    </cacheField>
    <cacheField name="Region" numFmtId="0">
      <sharedItems/>
    </cacheField>
    <cacheField name="Customer_Segment" numFmtId="0">
      <sharedItems/>
    </cacheField>
    <cacheField name="Customer_Since" numFmtId="14">
      <sharedItems containsSemiMixedTypes="0" containsNonDate="0" containsDate="1" containsString="0" minDate="2021-07-18T00:00:00" maxDate="2024-04-12T00:00:00"/>
    </cacheField>
    <cacheField name="Total_Amount" numFmtId="0">
      <sharedItems containsSemiMixedTypes="0" containsString="0" containsNumber="1" minValue="59.99" maxValue="4499.9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s v="TRX0155"/>
    <x v="0"/>
    <s v="CUST023"/>
    <x v="0"/>
    <s v="P009"/>
    <s v="Monitor"/>
    <s v="Electronics"/>
    <n v="3"/>
    <n v="249.99"/>
    <s v="Cash"/>
    <x v="0"/>
    <s v="Basic"/>
    <d v="2021-08-17T00:00:00"/>
    <n v="749.97"/>
  </r>
  <r>
    <s v="TRX0023"/>
    <x v="1"/>
    <s v="CUST013"/>
    <x v="1"/>
    <s v="P009"/>
    <s v="Monitor"/>
    <s v="Electronics"/>
    <n v="3"/>
    <n v="249.99"/>
    <s v="Credit Card"/>
    <x v="0"/>
    <s v="Premium"/>
    <d v="2022-01-14T00:00:00"/>
    <n v="749.97"/>
  </r>
  <r>
    <s v="TRX0139"/>
    <x v="2"/>
    <s v="CUST021"/>
    <x v="2"/>
    <s v="P005"/>
    <s v="Blender"/>
    <s v="Appliances"/>
    <n v="3"/>
    <n v="59.99"/>
    <s v="PayPal"/>
    <x v="1"/>
    <s v="Standard"/>
    <d v="2023-12-02T00:00:00"/>
    <n v="179.97"/>
  </r>
  <r>
    <s v="TRX0043"/>
    <x v="3"/>
    <s v="CUST046"/>
    <x v="3"/>
    <s v="P005"/>
    <s v="Blender"/>
    <s v="Appliances"/>
    <n v="3"/>
    <n v="59.99"/>
    <s v="Cash"/>
    <x v="2"/>
    <s v="Premium"/>
    <d v="2023-07-07T00:00:00"/>
    <n v="179.97"/>
  </r>
  <r>
    <s v="TRX0212"/>
    <x v="3"/>
    <s v="CUST003"/>
    <x v="4"/>
    <s v="P008"/>
    <s v="Bookshelf"/>
    <s v="Furniture"/>
    <n v="5"/>
    <n v="149.99"/>
    <s v="Credit Card"/>
    <x v="2"/>
    <s v="Premium"/>
    <d v="2024-01-04T00:00:00"/>
    <n v="749.95"/>
  </r>
  <r>
    <s v="TRX0092"/>
    <x v="4"/>
    <s v="CUST024"/>
    <x v="5"/>
    <s v="P005"/>
    <s v="Blender"/>
    <s v="Appliances"/>
    <n v="2"/>
    <n v="59.99"/>
    <s v="Cash"/>
    <x v="3"/>
    <s v="Standard"/>
    <d v="2022-07-04T00:00:00"/>
    <n v="119.98"/>
  </r>
  <r>
    <s v="TRX0193"/>
    <x v="4"/>
    <s v="CUST024"/>
    <x v="5"/>
    <s v="P003"/>
    <s v="Headphones"/>
    <s v="Electronics"/>
    <n v="5"/>
    <n v="149.99"/>
    <s v="Credit Card"/>
    <x v="0"/>
    <s v="Standard"/>
    <d v="2021-08-10T00:00:00"/>
    <n v="749.95"/>
  </r>
  <r>
    <s v="TRX0240"/>
    <x v="4"/>
    <s v="CUST017"/>
    <x v="6"/>
    <s v="P005"/>
    <s v="Blender"/>
    <s v="Appliances"/>
    <n v="3"/>
    <n v="59.99"/>
    <s v="Debit Card"/>
    <x v="1"/>
    <s v="Basic"/>
    <d v="2023-03-22T00:00:00"/>
    <n v="179.97"/>
  </r>
  <r>
    <s v="TRX0135"/>
    <x v="5"/>
    <s v="CUST009"/>
    <x v="7"/>
    <s v="P001"/>
    <s v="Laptop"/>
    <s v="Electronics"/>
    <n v="3"/>
    <n v="899.99"/>
    <s v="PayPal"/>
    <x v="4"/>
    <s v="Standard"/>
    <d v="2024-01-08T00:00:00"/>
    <n v="2699.97"/>
  </r>
  <r>
    <s v="TRX0185"/>
    <x v="6"/>
    <s v="CUST026"/>
    <x v="8"/>
    <s v="P005"/>
    <s v="Blender"/>
    <s v="Appliances"/>
    <n v="3"/>
    <n v="59.99"/>
    <s v="Cash"/>
    <x v="3"/>
    <s v="Premium"/>
    <d v="2023-10-08T00:00:00"/>
    <n v="179.97"/>
  </r>
  <r>
    <s v="TRX0138"/>
    <x v="6"/>
    <s v="CUST022"/>
    <x v="9"/>
    <s v="P008"/>
    <s v="Bookshelf"/>
    <s v="Furniture"/>
    <n v="1"/>
    <n v="149.99"/>
    <s v="Credit Card"/>
    <x v="3"/>
    <s v="Standard"/>
    <d v="2023-06-26T00:00:00"/>
    <n v="149.99"/>
  </r>
  <r>
    <s v="TRX0209"/>
    <x v="6"/>
    <s v="CUST046"/>
    <x v="3"/>
    <s v="P008"/>
    <s v="Bookshelf"/>
    <s v="Furniture"/>
    <n v="5"/>
    <n v="149.99"/>
    <s v="Debit Card"/>
    <x v="2"/>
    <s v="Basic"/>
    <d v="2022-09-26T00:00:00"/>
    <n v="749.95"/>
  </r>
  <r>
    <s v="TRX0246"/>
    <x v="6"/>
    <s v="CUST041"/>
    <x v="10"/>
    <s v="P008"/>
    <s v="Bookshelf"/>
    <s v="Furniture"/>
    <n v="3"/>
    <n v="149.99"/>
    <s v="Cash"/>
    <x v="2"/>
    <s v="Premium"/>
    <d v="2022-09-02T00:00:00"/>
    <n v="449.97"/>
  </r>
  <r>
    <s v="TRX0067"/>
    <x v="7"/>
    <s v="CUST043"/>
    <x v="11"/>
    <s v="P005"/>
    <s v="Blender"/>
    <s v="Appliances"/>
    <n v="3"/>
    <n v="59.99"/>
    <s v="Credit Card"/>
    <x v="2"/>
    <s v="Standard"/>
    <d v="2024-02-29T00:00:00"/>
    <n v="179.97"/>
  </r>
  <r>
    <s v="TRX0191"/>
    <x v="7"/>
    <s v="CUST038"/>
    <x v="12"/>
    <s v="P002"/>
    <s v="P002"/>
    <s v="Electronics"/>
    <n v="3"/>
    <n v="699.99"/>
    <s v="Credit Card"/>
    <x v="3"/>
    <s v="Basic"/>
    <d v="2022-01-16T00:00:00"/>
    <n v="2099.9699999999998"/>
  </r>
  <r>
    <s v="TRX0230"/>
    <x v="7"/>
    <s v="CUST027"/>
    <x v="13"/>
    <s v="P001"/>
    <s v="Laptop"/>
    <s v="Electronics"/>
    <n v="1"/>
    <n v="899.99"/>
    <s v="Debit Card"/>
    <x v="2"/>
    <s v="Standard"/>
    <d v="2022-12-25T00:00:00"/>
    <n v="899.99"/>
  </r>
  <r>
    <s v="TRX0049"/>
    <x v="8"/>
    <s v="CUST025"/>
    <x v="14"/>
    <s v="P008"/>
    <s v="Bookshelf"/>
    <s v="Furniture"/>
    <n v="4"/>
    <n v="149.99"/>
    <s v="Debit Card"/>
    <x v="2"/>
    <s v="Premium"/>
    <d v="2024-03-23T00:00:00"/>
    <n v="599.96"/>
  </r>
  <r>
    <s v="TRX0134"/>
    <x v="8"/>
    <s v="CUST010"/>
    <x v="15"/>
    <s v="P002"/>
    <s v="Smartphone"/>
    <s v="Electronics"/>
    <n v="2"/>
    <n v="699.99"/>
    <s v="Cash"/>
    <x v="2"/>
    <s v="Basic"/>
    <d v="2022-08-08T00:00:00"/>
    <n v="1399.98"/>
  </r>
  <r>
    <s v="TRX0122"/>
    <x v="8"/>
    <s v="CUST025"/>
    <x v="14"/>
    <s v="P001"/>
    <s v="Laptop"/>
    <s v="Electronics"/>
    <n v="4"/>
    <n v="899.99"/>
    <s v="Credit Card"/>
    <x v="3"/>
    <s v="Standard"/>
    <d v="2024-02-05T00:00:00"/>
    <n v="3599.96"/>
  </r>
  <r>
    <s v="TRX0222"/>
    <x v="8"/>
    <s v="CUST048"/>
    <x v="16"/>
    <s v="P009"/>
    <s v="Monitor"/>
    <s v="Electronics"/>
    <n v="3"/>
    <n v="249.99"/>
    <s v="Credit Card"/>
    <x v="2"/>
    <s v="Premium"/>
    <d v="2023-10-25T00:00:00"/>
    <n v="749.97"/>
  </r>
  <r>
    <s v="TRX0231"/>
    <x v="9"/>
    <s v="CUST018"/>
    <x v="17"/>
    <s v="P002"/>
    <s v="Smartphone"/>
    <s v="Electronics"/>
    <n v="5"/>
    <n v="699.99"/>
    <s v="Cash"/>
    <x v="3"/>
    <s v="Basic"/>
    <d v="2023-08-29T00:00:00"/>
    <n v="3499.95"/>
  </r>
  <r>
    <s v="TRX0239"/>
    <x v="10"/>
    <s v="CUST012"/>
    <x v="18"/>
    <s v="P002"/>
    <s v="Smartphone"/>
    <s v="Electronics"/>
    <n v="4"/>
    <n v="699.99"/>
    <s v="Cash"/>
    <x v="4"/>
    <s v="Standard"/>
    <d v="2021-08-01T00:00:00"/>
    <n v="2799.96"/>
  </r>
  <r>
    <s v="TRX0204"/>
    <x v="11"/>
    <s v="CUST044"/>
    <x v="19"/>
    <s v="P009"/>
    <s v="Monitor"/>
    <s v="Electronics"/>
    <n v="4"/>
    <n v="249.99"/>
    <s v="PayPal"/>
    <x v="2"/>
    <s v="Standard"/>
    <d v="2021-09-29T00:00:00"/>
    <n v="999.96"/>
  </r>
  <r>
    <s v="TRX0242"/>
    <x v="12"/>
    <s v="CUST025"/>
    <x v="14"/>
    <s v="P007"/>
    <s v="Desk"/>
    <s v="Furniture"/>
    <n v="4"/>
    <n v="299.99"/>
    <s v="Cash"/>
    <x v="3"/>
    <s v="Premium"/>
    <d v="2022-06-04T00:00:00"/>
    <n v="1199.96"/>
  </r>
  <r>
    <s v="TRX0071"/>
    <x v="13"/>
    <s v="CUST036"/>
    <x v="20"/>
    <s v="P009"/>
    <s v="Monitor"/>
    <s v="Electronics"/>
    <n v="5"/>
    <n v="249.99"/>
    <s v="Credit Card"/>
    <x v="3"/>
    <s v="Standard"/>
    <d v="2021-11-25T00:00:00"/>
    <n v="1249.95"/>
  </r>
  <r>
    <s v="TRX0040"/>
    <x v="14"/>
    <s v="CUST022"/>
    <x v="9"/>
    <s v="P007"/>
    <s v="Desk"/>
    <s v="Furniture"/>
    <n v="5"/>
    <n v="299.99"/>
    <s v="PayPal"/>
    <x v="4"/>
    <s v="Basic"/>
    <d v="2023-08-30T00:00:00"/>
    <n v="1499.95"/>
  </r>
  <r>
    <s v="TRX0235"/>
    <x v="14"/>
    <s v="CUST014"/>
    <x v="21"/>
    <s v="P004"/>
    <s v="Coffee Maker"/>
    <s v="Appliances"/>
    <n v="3"/>
    <n v="79.989999999999995"/>
    <s v="PayPal"/>
    <x v="4"/>
    <s v="Premium"/>
    <d v="2023-03-27T00:00:00"/>
    <n v="239.97"/>
  </r>
  <r>
    <s v="TRX0004"/>
    <x v="14"/>
    <s v="CUST012"/>
    <x v="18"/>
    <s v="P010"/>
    <s v="Keyboard"/>
    <s v="Electronics"/>
    <n v="5"/>
    <n v="89.99"/>
    <s v="Cash"/>
    <x v="2"/>
    <s v="Premium"/>
    <d v="2022-12-24T00:00:00"/>
    <n v="449.95"/>
  </r>
  <r>
    <s v="TRX0063"/>
    <x v="15"/>
    <s v="CUST030"/>
    <x v="22"/>
    <s v="P005"/>
    <s v="Blender"/>
    <s v="Appliances"/>
    <n v="2"/>
    <n v="59.99"/>
    <s v="Debit Card"/>
    <x v="0"/>
    <s v="Standard"/>
    <d v="2023-10-15T00:00:00"/>
    <n v="119.98"/>
  </r>
  <r>
    <s v="TRX0241"/>
    <x v="16"/>
    <s v="CUST029"/>
    <x v="23"/>
    <s v="P005"/>
    <s v="Blender"/>
    <s v="Appliances"/>
    <n v="4"/>
    <n v="59.99"/>
    <s v="Debit Card"/>
    <x v="4"/>
    <s v="Standard"/>
    <d v="2022-11-02T00:00:00"/>
    <n v="239.96"/>
  </r>
  <r>
    <s v="TRX0029"/>
    <x v="16"/>
    <s v="CUST017"/>
    <x v="6"/>
    <s v="P006"/>
    <s v="Office Chair"/>
    <s v="Furniture"/>
    <n v="5"/>
    <n v="199.99"/>
    <s v="Cash"/>
    <x v="1"/>
    <s v="Standard"/>
    <d v="2021-08-04T00:00:00"/>
    <n v="999.95"/>
  </r>
  <r>
    <s v="TRX0194"/>
    <x v="17"/>
    <s v="CUST006"/>
    <x v="24"/>
    <s v="P008"/>
    <s v="Bookshelf"/>
    <s v="Furniture"/>
    <n v="2"/>
    <n v="149.99"/>
    <s v="Credit Card"/>
    <x v="3"/>
    <s v="Basic"/>
    <d v="2022-09-19T00:00:00"/>
    <n v="299.98"/>
  </r>
  <r>
    <s v="TRX0130"/>
    <x v="18"/>
    <s v="CUST002"/>
    <x v="25"/>
    <s v="P008"/>
    <s v="Bookshelf"/>
    <s v="Furniture"/>
    <n v="3"/>
    <n v="149.99"/>
    <s v="Credit Card"/>
    <x v="3"/>
    <s v="Premium"/>
    <d v="2023-05-22T00:00:00"/>
    <n v="449.97"/>
  </r>
  <r>
    <s v="TRX0041"/>
    <x v="19"/>
    <s v="CUST021"/>
    <x v="2"/>
    <s v="P001"/>
    <s v="Laptop"/>
    <s v="Electronics"/>
    <n v="1"/>
    <n v="899.99"/>
    <s v="Credit Card"/>
    <x v="3"/>
    <s v="Premium"/>
    <d v="2022-01-17T00:00:00"/>
    <n v="899.99"/>
  </r>
  <r>
    <s v="TRX0232"/>
    <x v="20"/>
    <s v="CUST012"/>
    <x v="18"/>
    <s v="P007"/>
    <s v="Desk"/>
    <s v="Furniture"/>
    <n v="3"/>
    <n v="299.99"/>
    <s v="Credit Card"/>
    <x v="4"/>
    <s v="Basic"/>
    <d v="2022-09-20T00:00:00"/>
    <n v="899.97"/>
  </r>
  <r>
    <s v="TRX0021"/>
    <x v="21"/>
    <s v="CUST006"/>
    <x v="24"/>
    <s v="P004"/>
    <s v="Coffee Maker"/>
    <s v="Appliances"/>
    <n v="3"/>
    <n v="79.989999999999995"/>
    <s v="Cash"/>
    <x v="1"/>
    <s v="Basic"/>
    <d v="2023-04-30T00:00:00"/>
    <n v="239.97"/>
  </r>
  <r>
    <s v="TRX0245"/>
    <x v="22"/>
    <s v="CUST031"/>
    <x v="26"/>
    <s v="P006"/>
    <s v="Office Chair"/>
    <s v="Furniture"/>
    <n v="3"/>
    <n v="199.99"/>
    <s v="Credit Card"/>
    <x v="2"/>
    <s v="Premium"/>
    <d v="2024-01-01T00:00:00"/>
    <n v="599.97"/>
  </r>
  <r>
    <s v="TRX0015"/>
    <x v="23"/>
    <s v="CUST008"/>
    <x v="27"/>
    <s v="P002"/>
    <s v="Smartphone"/>
    <s v="Electronics"/>
    <n v="5"/>
    <n v="699.99"/>
    <s v="PayPal"/>
    <x v="3"/>
    <s v="Standard"/>
    <d v="2021-07-30T00:00:00"/>
    <n v="3499.95"/>
  </r>
  <r>
    <s v="TRX0202"/>
    <x v="24"/>
    <s v="CUST035"/>
    <x v="28"/>
    <s v="P010"/>
    <s v="Keyboard"/>
    <s v="Electronics"/>
    <n v="3"/>
    <n v="89.99"/>
    <s v="PayPal"/>
    <x v="0"/>
    <s v="Premium"/>
    <d v="2023-07-13T00:00:00"/>
    <n v="269.97000000000003"/>
  </r>
  <r>
    <s v="TRX0042"/>
    <x v="25"/>
    <s v="CUST019"/>
    <x v="29"/>
    <s v="P004"/>
    <s v="Coffee Maker"/>
    <s v="Appliances"/>
    <n v="1"/>
    <n v="79.989999999999995"/>
    <s v="Cash"/>
    <x v="2"/>
    <s v="Standard"/>
    <d v="2022-12-22T00:00:00"/>
    <n v="79.989999999999995"/>
  </r>
  <r>
    <s v="TRX0128"/>
    <x v="26"/>
    <s v="CUST040"/>
    <x v="30"/>
    <s v="P005"/>
    <s v="Blender"/>
    <s v="Appliances"/>
    <n v="2"/>
    <n v="59.99"/>
    <s v="Cash"/>
    <x v="3"/>
    <s v="Basic"/>
    <d v="2024-04-08T00:00:00"/>
    <n v="119.98"/>
  </r>
  <r>
    <s v="TRX0117"/>
    <x v="26"/>
    <s v="CUST017"/>
    <x v="6"/>
    <s v="P010"/>
    <s v="Keyboard"/>
    <s v="Electronics"/>
    <n v="1"/>
    <n v="89.99"/>
    <s v="Cash"/>
    <x v="2"/>
    <s v="Basic"/>
    <d v="2023-08-03T00:00:00"/>
    <n v="89.99"/>
  </r>
  <r>
    <s v="TRX0208"/>
    <x v="27"/>
    <s v="CUST004"/>
    <x v="31"/>
    <s v="P010"/>
    <s v="Keyboard"/>
    <s v="Electronics"/>
    <n v="5"/>
    <n v="89.99"/>
    <s v="Credit Card"/>
    <x v="4"/>
    <s v="Standard"/>
    <d v="2022-01-26T00:00:00"/>
    <n v="449.95"/>
  </r>
  <r>
    <s v="TRX0234"/>
    <x v="28"/>
    <s v="CUST013"/>
    <x v="1"/>
    <s v="P009"/>
    <s v="Monitor"/>
    <s v="Electronics"/>
    <n v="5"/>
    <n v="249.99"/>
    <s v="Credit Card"/>
    <x v="4"/>
    <s v="Standard"/>
    <d v="2022-05-26T00:00:00"/>
    <n v="1249.95"/>
  </r>
  <r>
    <s v="TRX0121"/>
    <x v="28"/>
    <s v="CUST028"/>
    <x v="32"/>
    <s v="P010"/>
    <s v="Keyboard"/>
    <s v="Electronics"/>
    <n v="1"/>
    <n v="89.99"/>
    <s v="Credit Card"/>
    <x v="1"/>
    <s v="Standard"/>
    <d v="2022-01-21T00:00:00"/>
    <n v="89.99"/>
  </r>
  <r>
    <s v="TRX0220"/>
    <x v="29"/>
    <s v="CUST003"/>
    <x v="4"/>
    <s v="P008"/>
    <s v="Bookshelf"/>
    <s v="Furniture"/>
    <n v="2"/>
    <n v="149.99"/>
    <s v="Cash"/>
    <x v="4"/>
    <s v="Premium"/>
    <d v="2022-03-25T00:00:00"/>
    <n v="299.98"/>
  </r>
  <r>
    <s v="TRX0093"/>
    <x v="30"/>
    <s v="CUST050"/>
    <x v="33"/>
    <s v="P005"/>
    <s v="Blender"/>
    <s v="Appliances"/>
    <n v="4"/>
    <n v="59.99"/>
    <s v="Cash"/>
    <x v="4"/>
    <s v="Standard"/>
    <d v="2021-08-27T00:00:00"/>
    <n v="239.96"/>
  </r>
  <r>
    <s v="TRX0088"/>
    <x v="31"/>
    <s v="CUST006"/>
    <x v="24"/>
    <s v="P010"/>
    <s v="Keyboard"/>
    <s v="Electronics"/>
    <n v="5"/>
    <n v="89.99"/>
    <s v="Cash"/>
    <x v="0"/>
    <s v="Premium"/>
    <d v="2022-01-18T00:00:00"/>
    <n v="449.95"/>
  </r>
  <r>
    <s v="TRX0115"/>
    <x v="32"/>
    <s v="CUST012"/>
    <x v="18"/>
    <s v="P010"/>
    <s v="Keyboard"/>
    <s v="Electronics"/>
    <n v="2"/>
    <n v="89.99"/>
    <s v="Credit Card"/>
    <x v="1"/>
    <s v="Premium"/>
    <d v="2021-10-02T00:00:00"/>
    <n v="179.98"/>
  </r>
  <r>
    <s v="TRX0154"/>
    <x v="32"/>
    <s v="CUST023"/>
    <x v="0"/>
    <s v="P001"/>
    <s v="Laptop"/>
    <s v="Electronics"/>
    <n v="5"/>
    <n v="899.99"/>
    <s v="Credit Card"/>
    <x v="1"/>
    <s v="Standard"/>
    <d v="2023-02-17T00:00:00"/>
    <n v="4499.95"/>
  </r>
  <r>
    <s v="TRX0044"/>
    <x v="32"/>
    <s v="CUST029"/>
    <x v="23"/>
    <s v="P001"/>
    <s v="Laptop"/>
    <s v="Electronics"/>
    <n v="5"/>
    <n v="899.99"/>
    <s v="PayPal"/>
    <x v="4"/>
    <s v="Premium"/>
    <d v="2023-12-18T00:00:00"/>
    <n v="4499.95"/>
  </r>
  <r>
    <s v="TRX0061"/>
    <x v="33"/>
    <s v="CUST028"/>
    <x v="32"/>
    <s v="P005"/>
    <s v="Blender"/>
    <s v="Appliances"/>
    <n v="1"/>
    <n v="59.99"/>
    <s v="Debit Card"/>
    <x v="3"/>
    <s v="Premium"/>
    <d v="2023-09-21T00:00:00"/>
    <n v="59.99"/>
  </r>
  <r>
    <s v="TRX0150"/>
    <x v="33"/>
    <s v="CUST008"/>
    <x v="27"/>
    <s v="P007"/>
    <s v="Desk"/>
    <s v="Furniture"/>
    <n v="2"/>
    <n v="299.99"/>
    <s v="Debit Card"/>
    <x v="4"/>
    <s v="Standard"/>
    <d v="2023-11-23T00:00:00"/>
    <n v="599.98"/>
  </r>
  <r>
    <s v="TRX0025"/>
    <x v="34"/>
    <s v="CUST049"/>
    <x v="34"/>
    <s v="P010"/>
    <s v="Keyboard"/>
    <s v="Electronics"/>
    <n v="4"/>
    <n v="89.99"/>
    <s v="Debit Card"/>
    <x v="1"/>
    <s v="Basic"/>
    <d v="2023-12-21T00:00:00"/>
    <n v="359.96"/>
  </r>
  <r>
    <s v="TRX0078"/>
    <x v="35"/>
    <s v="CUST021"/>
    <x v="2"/>
    <s v="P004"/>
    <s v="Coffee Maker"/>
    <s v="Appliances"/>
    <n v="1"/>
    <n v="79.989999999999995"/>
    <s v="PayPal"/>
    <x v="0"/>
    <s v="Premium"/>
    <d v="2024-03-01T00:00:00"/>
    <n v="79.989999999999995"/>
  </r>
  <r>
    <s v="TRX0007"/>
    <x v="35"/>
    <s v="CUST009"/>
    <x v="7"/>
    <s v="P010"/>
    <s v="Keyboard"/>
    <s v="Electronics"/>
    <n v="2"/>
    <n v="89.99"/>
    <s v="Cash"/>
    <x v="3"/>
    <s v="Basic"/>
    <d v="2021-08-30T00:00:00"/>
    <n v="179.98"/>
  </r>
  <r>
    <s v="TRX0184"/>
    <x v="36"/>
    <s v="CUST046"/>
    <x v="3"/>
    <s v="P002"/>
    <s v="Smartphone"/>
    <s v="Electronics"/>
    <n v="3"/>
    <n v="699.99"/>
    <s v="Credit Card"/>
    <x v="4"/>
    <s v="Premium"/>
    <d v="2023-06-25T00:00:00"/>
    <n v="2099.9699999999998"/>
  </r>
  <r>
    <s v="TRX0104"/>
    <x v="36"/>
    <s v="CUST012"/>
    <x v="18"/>
    <s v="P001"/>
    <s v="Laptop"/>
    <s v="Electronics"/>
    <n v="4"/>
    <n v="899.99"/>
    <s v="Credit Card"/>
    <x v="4"/>
    <s v="Premium"/>
    <d v="2023-03-08T00:00:00"/>
    <n v="3599.96"/>
  </r>
  <r>
    <s v="TRX0127"/>
    <x v="37"/>
    <s v="CUST030"/>
    <x v="22"/>
    <s v="P008"/>
    <s v="Bookshelf"/>
    <s v="Furniture"/>
    <n v="1"/>
    <n v="149.99"/>
    <s v="PayPal"/>
    <x v="4"/>
    <s v="Basic"/>
    <d v="2022-10-17T00:00:00"/>
    <n v="149.99"/>
  </r>
  <r>
    <s v="TRX0096"/>
    <x v="38"/>
    <s v="CUST002"/>
    <x v="25"/>
    <s v="P010"/>
    <s v="Keyboard"/>
    <s v="Electronics"/>
    <n v="2"/>
    <n v="89.99"/>
    <s v="PayPal"/>
    <x v="0"/>
    <s v="Premium"/>
    <d v="2023-12-15T00:00:00"/>
    <n v="179.98"/>
  </r>
  <r>
    <s v="TRX0192"/>
    <x v="39"/>
    <s v="CUST017"/>
    <x v="6"/>
    <s v="P010"/>
    <s v="Keyboard"/>
    <s v="Electronics"/>
    <n v="1"/>
    <n v="89.99"/>
    <s v="PayPal"/>
    <x v="3"/>
    <s v="Standard"/>
    <d v="2022-08-29T00:00:00"/>
    <n v="89.99"/>
  </r>
  <r>
    <s v="TRX0052"/>
    <x v="40"/>
    <s v="CUST022"/>
    <x v="9"/>
    <s v="P010"/>
    <s v="Keyboard"/>
    <s v="Electronics"/>
    <n v="1"/>
    <n v="89.99"/>
    <s v="Cash"/>
    <x v="1"/>
    <s v="Standard"/>
    <d v="2022-02-19T00:00:00"/>
    <n v="89.99"/>
  </r>
  <r>
    <s v="TRX0070"/>
    <x v="40"/>
    <s v="CUST007"/>
    <x v="35"/>
    <s v="P004"/>
    <s v="Coffee Maker"/>
    <s v="Appliances"/>
    <n v="5"/>
    <n v="79.989999999999995"/>
    <s v="Debit Card"/>
    <x v="0"/>
    <s v="Basic"/>
    <d v="2023-02-24T00:00:00"/>
    <n v="399.95"/>
  </r>
  <r>
    <s v="TRX0086"/>
    <x v="41"/>
    <s v="CUST020"/>
    <x v="36"/>
    <s v="P008"/>
    <s v="Bookshelf"/>
    <s v="Furniture"/>
    <n v="1"/>
    <n v="149.99"/>
    <s v="PayPal"/>
    <x v="2"/>
    <s v="Basic"/>
    <d v="2021-08-13T00:00:00"/>
    <n v="149.99"/>
  </r>
  <r>
    <s v="TRX0113"/>
    <x v="41"/>
    <s v="CUST003"/>
    <x v="4"/>
    <s v="P002"/>
    <s v="Smartphone"/>
    <s v="Electronics"/>
    <n v="2"/>
    <n v="699.99"/>
    <s v="PayPal"/>
    <x v="4"/>
    <s v="Premium"/>
    <d v="2024-04-07T00:00:00"/>
    <n v="1399.98"/>
  </r>
  <r>
    <s v="TRX0114"/>
    <x v="41"/>
    <s v="CUST018"/>
    <x v="17"/>
    <s v="P010"/>
    <s v="Keyboard"/>
    <s v="Electronics"/>
    <n v="5"/>
    <n v="89.99"/>
    <s v="Debit Card"/>
    <x v="2"/>
    <s v="Premium"/>
    <d v="2023-08-23T00:00:00"/>
    <n v="449.95"/>
  </r>
  <r>
    <s v="TRX0136"/>
    <x v="42"/>
    <s v="CUST049"/>
    <x v="34"/>
    <s v="P005"/>
    <s v="Blender"/>
    <s v="Appliances"/>
    <n v="4"/>
    <n v="59.99"/>
    <s v="Cash"/>
    <x v="1"/>
    <s v="Standard"/>
    <d v="2021-11-09T00:00:00"/>
    <n v="239.96"/>
  </r>
  <r>
    <s v="TRX0018"/>
    <x v="43"/>
    <s v="CUST013"/>
    <x v="1"/>
    <s v="P003"/>
    <s v="Headphones"/>
    <s v="Electronics"/>
    <n v="1"/>
    <n v="149.99"/>
    <s v="Cash"/>
    <x v="0"/>
    <s v="Standard"/>
    <d v="2022-12-14T00:00:00"/>
    <n v="149.99"/>
  </r>
  <r>
    <s v="TRX0141"/>
    <x v="43"/>
    <s v="CUST033"/>
    <x v="37"/>
    <s v="P007"/>
    <s v="Desk"/>
    <s v="Furniture"/>
    <n v="1"/>
    <n v="299.99"/>
    <s v="Credit Card"/>
    <x v="2"/>
    <s v="Premium"/>
    <d v="2022-11-26T00:00:00"/>
    <n v="299.99"/>
  </r>
  <r>
    <s v="TRX0097"/>
    <x v="44"/>
    <s v="CUST033"/>
    <x v="37"/>
    <s v="P006"/>
    <s v="Office Chair"/>
    <s v="Furniture"/>
    <n v="2"/>
    <n v="199.99"/>
    <s v="Cash"/>
    <x v="2"/>
    <s v="Basic"/>
    <d v="2021-12-11T00:00:00"/>
    <n v="399.98"/>
  </r>
  <r>
    <s v="TRX0169"/>
    <x v="45"/>
    <s v="CUST047"/>
    <x v="38"/>
    <s v="P005"/>
    <s v="Blender"/>
    <s v="Appliances"/>
    <n v="3"/>
    <n v="59.99"/>
    <s v="Credit Card"/>
    <x v="3"/>
    <s v="Basic"/>
    <d v="2023-07-23T00:00:00"/>
    <n v="179.97"/>
  </r>
  <r>
    <s v="TRX0216"/>
    <x v="45"/>
    <s v="CUST041"/>
    <x v="10"/>
    <s v="P008"/>
    <s v="Bookshelf"/>
    <s v="Furniture"/>
    <n v="3"/>
    <n v="149.99"/>
    <s v="Cash"/>
    <x v="0"/>
    <s v="Premium"/>
    <d v="2023-09-30T00:00:00"/>
    <n v="449.97"/>
  </r>
  <r>
    <s v="TRX0131"/>
    <x v="46"/>
    <s v="CUST026"/>
    <x v="8"/>
    <s v="P006"/>
    <s v="Office Chair"/>
    <s v="Furniture"/>
    <n v="3"/>
    <n v="199.99"/>
    <s v="Cash"/>
    <x v="2"/>
    <s v="Premium"/>
    <d v="2023-11-24T00:00:00"/>
    <n v="599.97"/>
  </r>
  <r>
    <s v="TRX0162"/>
    <x v="47"/>
    <s v="CUST040"/>
    <x v="30"/>
    <s v="P001"/>
    <s v="Laptop"/>
    <s v="Electronics"/>
    <n v="1"/>
    <n v="899.99"/>
    <s v="Cash"/>
    <x v="0"/>
    <s v="Standard"/>
    <d v="2023-09-10T00:00:00"/>
    <n v="899.99"/>
  </r>
  <r>
    <s v="TRX0244"/>
    <x v="48"/>
    <s v="CUST013"/>
    <x v="1"/>
    <s v="P001"/>
    <s v="Laptop"/>
    <s v="Electronics"/>
    <n v="5"/>
    <n v="899.99"/>
    <s v="Debit Card"/>
    <x v="1"/>
    <s v="Standard"/>
    <d v="2022-12-04T00:00:00"/>
    <n v="4499.95"/>
  </r>
  <r>
    <s v="TRX0006"/>
    <x v="49"/>
    <s v="CUST007"/>
    <x v="35"/>
    <s v="P005"/>
    <s v="Blender"/>
    <s v="Appliances"/>
    <n v="2"/>
    <n v="59.99"/>
    <s v="Cash"/>
    <x v="2"/>
    <s v="Standard"/>
    <d v="2023-08-14T00:00:00"/>
    <n v="119.98"/>
  </r>
  <r>
    <s v="TRX0215"/>
    <x v="49"/>
    <s v="CUST047"/>
    <x v="38"/>
    <s v="P009"/>
    <s v="Monitor"/>
    <s v="Electronics"/>
    <n v="4"/>
    <n v="249.99"/>
    <s v="Debit Card"/>
    <x v="0"/>
    <s v="Standard"/>
    <d v="2023-07-20T00:00:00"/>
    <n v="999.96"/>
  </r>
  <r>
    <s v="TRX0080"/>
    <x v="50"/>
    <s v="CUST018"/>
    <x v="17"/>
    <s v="P009"/>
    <s v="Monitor"/>
    <s v="Electronics"/>
    <n v="2"/>
    <n v="249.99"/>
    <s v="Cash"/>
    <x v="2"/>
    <s v="Premium"/>
    <d v="2023-08-26T00:00:00"/>
    <n v="499.98"/>
  </r>
  <r>
    <s v="TRX0228"/>
    <x v="50"/>
    <s v="CUST019"/>
    <x v="29"/>
    <s v="P007"/>
    <s v="Desk"/>
    <s v="Furniture"/>
    <n v="1"/>
    <n v="299.99"/>
    <s v="Cash"/>
    <x v="1"/>
    <s v="Basic"/>
    <d v="2023-02-25T00:00:00"/>
    <n v="299.99"/>
  </r>
  <r>
    <s v="TRX0157"/>
    <x v="51"/>
    <s v="CUST025"/>
    <x v="14"/>
    <s v="P010"/>
    <s v="Keyboard"/>
    <s v="Electronics"/>
    <n v="2"/>
    <n v="89.99"/>
    <s v="PayPal"/>
    <x v="1"/>
    <s v="Basic"/>
    <d v="2023-02-19T00:00:00"/>
    <n v="179.98"/>
  </r>
  <r>
    <s v="TRX0002"/>
    <x v="51"/>
    <s v="CUST019"/>
    <x v="29"/>
    <s v="P007"/>
    <s v="Desk"/>
    <s v="Furniture"/>
    <n v="3"/>
    <n v="299.99"/>
    <s v="Cash"/>
    <x v="0"/>
    <s v="Basic"/>
    <d v="2022-06-20T00:00:00"/>
    <n v="899.97"/>
  </r>
  <r>
    <s v="TRX0217"/>
    <x v="52"/>
    <s v="CUST025"/>
    <x v="14"/>
    <s v="P002"/>
    <s v="Smartphone"/>
    <s v="Electronics"/>
    <n v="2"/>
    <n v="699.99"/>
    <s v="Credit Card"/>
    <x v="2"/>
    <s v="Premium"/>
    <d v="2023-03-14T00:00:00"/>
    <n v="1399.98"/>
  </r>
  <r>
    <s v="TRX0249"/>
    <x v="53"/>
    <s v="CUST030"/>
    <x v="22"/>
    <s v="P001"/>
    <s v="Laptop"/>
    <s v="Electronics"/>
    <n v="4"/>
    <n v="899.99"/>
    <s v="Debit Card"/>
    <x v="1"/>
    <s v="Standard"/>
    <d v="2021-11-23T00:00:00"/>
    <n v="3599.96"/>
  </r>
  <r>
    <s v="TRX0065"/>
    <x v="54"/>
    <s v="CUST016"/>
    <x v="39"/>
    <s v="P008"/>
    <s v="Bookshelf"/>
    <s v="Furniture"/>
    <n v="2"/>
    <n v="149.99"/>
    <s v="Credit Card"/>
    <x v="3"/>
    <s v="Basic"/>
    <d v="2021-12-12T00:00:00"/>
    <n v="299.98"/>
  </r>
  <r>
    <s v="TRX0176"/>
    <x v="55"/>
    <s v="CUST044"/>
    <x v="19"/>
    <s v="P008"/>
    <s v="Bookshelf"/>
    <s v="Furniture"/>
    <n v="2"/>
    <n v="149.99"/>
    <s v="Debit Card"/>
    <x v="4"/>
    <s v="Standard"/>
    <d v="2022-04-16T00:00:00"/>
    <n v="299.98"/>
  </r>
  <r>
    <s v="TRX0101"/>
    <x v="56"/>
    <s v="CUST010"/>
    <x v="15"/>
    <s v="P010"/>
    <s v="Keyboard"/>
    <s v="Electronics"/>
    <n v="1"/>
    <n v="89.99"/>
    <s v="Credit Card"/>
    <x v="2"/>
    <s v="Standard"/>
    <d v="2024-04-11T00:00:00"/>
    <n v="89.99"/>
  </r>
  <r>
    <s v="TRX0205"/>
    <x v="57"/>
    <s v="CUST025"/>
    <x v="14"/>
    <s v="P007"/>
    <s v="Desk"/>
    <s v="Furniture"/>
    <n v="5"/>
    <n v="299.99"/>
    <s v="Credit Card"/>
    <x v="2"/>
    <s v="Basic"/>
    <d v="2023-02-08T00:00:00"/>
    <n v="1499.95"/>
  </r>
  <r>
    <s v="TRX0020"/>
    <x v="58"/>
    <s v="CUST007"/>
    <x v="35"/>
    <s v="P003"/>
    <s v="Headphones"/>
    <s v="Electronics"/>
    <n v="4"/>
    <n v="149.99"/>
    <s v="Debit Card"/>
    <x v="1"/>
    <s v="Premium"/>
    <d v="2022-09-16T00:00:00"/>
    <n v="599.96"/>
  </r>
  <r>
    <s v="TRX0075"/>
    <x v="58"/>
    <s v="CUST020"/>
    <x v="36"/>
    <s v="P009"/>
    <s v="Monitor"/>
    <s v="Electronics"/>
    <n v="5"/>
    <n v="249.99"/>
    <s v="PayPal"/>
    <x v="4"/>
    <s v="Premium"/>
    <d v="2022-08-09T00:00:00"/>
    <n v="1249.95"/>
  </r>
  <r>
    <s v="TRX0098"/>
    <x v="58"/>
    <s v="CUST026"/>
    <x v="8"/>
    <s v="P009"/>
    <s v="Monitor"/>
    <s v="Electronics"/>
    <n v="3"/>
    <n v="249.99"/>
    <s v="PayPal"/>
    <x v="2"/>
    <s v="Premium"/>
    <d v="2021-09-26T00:00:00"/>
    <n v="749.97"/>
  </r>
  <r>
    <s v="TRX0247"/>
    <x v="58"/>
    <s v="CUST046"/>
    <x v="3"/>
    <s v="P006"/>
    <s v="Office Chair"/>
    <s v="Furniture"/>
    <n v="4"/>
    <n v="199.99"/>
    <s v="Cash"/>
    <x v="2"/>
    <s v="Standard"/>
    <d v="2021-09-19T00:00:00"/>
    <n v="799.96"/>
  </r>
  <r>
    <s v="TRX0027"/>
    <x v="59"/>
    <s v="CUST028"/>
    <x v="32"/>
    <s v="P006"/>
    <s v="Office Chair"/>
    <s v="Furniture"/>
    <n v="5"/>
    <n v="199.99"/>
    <s v="Cash"/>
    <x v="2"/>
    <s v="Premium"/>
    <d v="2023-03-06T00:00:00"/>
    <n v="999.95"/>
  </r>
  <r>
    <s v="TRX0140"/>
    <x v="60"/>
    <s v="CUST025"/>
    <x v="14"/>
    <s v="P010"/>
    <s v="Keyboard"/>
    <s v="Electronics"/>
    <n v="2"/>
    <n v="89.99"/>
    <s v="Cash"/>
    <x v="4"/>
    <s v="Premium"/>
    <d v="2023-02-15T00:00:00"/>
    <n v="179.98"/>
  </r>
  <r>
    <s v="TRX0132"/>
    <x v="61"/>
    <s v="CUST047"/>
    <x v="38"/>
    <s v="P001"/>
    <s v="Laptop"/>
    <s v="Electronics"/>
    <n v="5"/>
    <n v="899.99"/>
    <s v="Debit Card"/>
    <x v="4"/>
    <s v="Basic"/>
    <d v="2021-11-26T00:00:00"/>
    <n v="4499.95"/>
  </r>
  <r>
    <s v="TRX0031"/>
    <x v="61"/>
    <s v="CUST036"/>
    <x v="20"/>
    <s v="P003"/>
    <s v="Headphones"/>
    <s v="Electronics"/>
    <n v="3"/>
    <n v="149.99"/>
    <s v="PayPal"/>
    <x v="4"/>
    <s v="Basic"/>
    <d v="2022-01-13T00:00:00"/>
    <n v="449.97"/>
  </r>
  <r>
    <s v="TRX0236"/>
    <x v="62"/>
    <s v="CUST044"/>
    <x v="19"/>
    <s v="P008"/>
    <s v="Bookshelf"/>
    <s v="Furniture"/>
    <n v="5"/>
    <n v="149.99"/>
    <s v="Credit Card"/>
    <x v="0"/>
    <s v="Basic"/>
    <d v="2024-01-19T00:00:00"/>
    <n v="749.95"/>
  </r>
  <r>
    <s v="TRX0001"/>
    <x v="63"/>
    <s v="CUST039"/>
    <x v="40"/>
    <s v="P004"/>
    <s v="Coffee Maker"/>
    <s v="Appliances"/>
    <n v="3"/>
    <n v="79.989999999999995"/>
    <s v="Cash"/>
    <x v="0"/>
    <s v="Premium"/>
    <d v="2022-08-06T00:00:00"/>
    <n v="239.97"/>
  </r>
  <r>
    <s v="TRX0037"/>
    <x v="63"/>
    <s v="CUST035"/>
    <x v="28"/>
    <s v="P009"/>
    <s v="Monitor"/>
    <s v="Electronics"/>
    <n v="2"/>
    <n v="249.99"/>
    <s v="Cash"/>
    <x v="1"/>
    <s v="Standard"/>
    <d v="2022-01-11T00:00:00"/>
    <n v="499.98"/>
  </r>
  <r>
    <s v="TRX0058"/>
    <x v="64"/>
    <s v="CUST047"/>
    <x v="38"/>
    <s v="P002"/>
    <s v="Smartphone"/>
    <s v="Electronics"/>
    <n v="1"/>
    <n v="699.99"/>
    <s v="Cash"/>
    <x v="0"/>
    <s v="Premium"/>
    <d v="2021-10-28T00:00:00"/>
    <n v="699.99"/>
  </r>
  <r>
    <s v="TRX0170"/>
    <x v="64"/>
    <s v="CUST034"/>
    <x v="41"/>
    <s v="P003"/>
    <s v="Headphones"/>
    <s v="Electronics"/>
    <n v="3"/>
    <n v="149.99"/>
    <s v="Cash"/>
    <x v="3"/>
    <s v="Premium"/>
    <d v="2023-10-13T00:00:00"/>
    <n v="449.97"/>
  </r>
  <r>
    <s v="TRX0248"/>
    <x v="65"/>
    <s v="CUST032"/>
    <x v="42"/>
    <s v="P002"/>
    <s v="Smartphone"/>
    <s v="Electronics"/>
    <n v="2"/>
    <n v="699.99"/>
    <s v="Credit Card"/>
    <x v="2"/>
    <s v="Premium"/>
    <d v="2021-08-13T00:00:00"/>
    <n v="1399.98"/>
  </r>
  <r>
    <s v="TRX0099"/>
    <x v="66"/>
    <s v="CUST034"/>
    <x v="41"/>
    <s v="P009"/>
    <s v="Monitor"/>
    <s v="Electronics"/>
    <n v="1"/>
    <n v="249.99"/>
    <s v="Credit Card"/>
    <x v="3"/>
    <s v="Premium"/>
    <d v="2022-05-04T00:00:00"/>
    <n v="249.99"/>
  </r>
  <r>
    <s v="TRX0074"/>
    <x v="66"/>
    <s v="CUST023"/>
    <x v="0"/>
    <s v="P009"/>
    <s v="Monitor"/>
    <s v="Electronics"/>
    <n v="1"/>
    <n v="249.99"/>
    <s v="Debit Card"/>
    <x v="2"/>
    <s v="Premium"/>
    <d v="2024-02-10T00:00:00"/>
    <n v="249.99"/>
  </r>
  <r>
    <s v="TRX0225"/>
    <x v="67"/>
    <s v="CUST039"/>
    <x v="40"/>
    <s v="P002"/>
    <s v="Smartphone"/>
    <s v="Electronics"/>
    <n v="2"/>
    <n v="699.99"/>
    <s v="Debit Card"/>
    <x v="0"/>
    <s v="Premium"/>
    <d v="2022-11-05T00:00:00"/>
    <n v="1399.98"/>
  </r>
  <r>
    <s v="TRX0100"/>
    <x v="68"/>
    <s v="CUST031"/>
    <x v="26"/>
    <s v="P005"/>
    <s v="Blender"/>
    <s v="Appliances"/>
    <n v="3"/>
    <n v="59.99"/>
    <s v="Credit Card"/>
    <x v="0"/>
    <s v="Premium"/>
    <d v="2022-06-05T00:00:00"/>
    <n v="179.97"/>
  </r>
  <r>
    <s v="TRX0142"/>
    <x v="69"/>
    <s v="CUST002"/>
    <x v="25"/>
    <s v="P005"/>
    <s v="Blender"/>
    <s v="Appliances"/>
    <n v="3"/>
    <n v="59.99"/>
    <s v="PayPal"/>
    <x v="4"/>
    <s v="Standard"/>
    <d v="2022-07-06T00:00:00"/>
    <n v="179.97"/>
  </r>
  <r>
    <s v="TRX0112"/>
    <x v="69"/>
    <s v="CUST008"/>
    <x v="27"/>
    <s v="P004"/>
    <s v="Coffee Maker"/>
    <s v="Appliances"/>
    <n v="4"/>
    <n v="79.989999999999995"/>
    <s v="Cash"/>
    <x v="2"/>
    <s v="Basic"/>
    <d v="2021-11-30T00:00:00"/>
    <n v="319.95999999999998"/>
  </r>
  <r>
    <s v="TRX0161"/>
    <x v="70"/>
    <s v="CUST017"/>
    <x v="6"/>
    <s v="P004"/>
    <s v="Coffee Maker"/>
    <s v="Appliances"/>
    <n v="1"/>
    <n v="79.989999999999995"/>
    <s v="Cash"/>
    <x v="3"/>
    <s v="Basic"/>
    <d v="2022-05-12T00:00:00"/>
    <n v="79.989999999999995"/>
  </r>
  <r>
    <s v="TRX0108"/>
    <x v="71"/>
    <s v="CUST024"/>
    <x v="5"/>
    <s v="P007"/>
    <s v="Desk"/>
    <s v="Furniture"/>
    <n v="3"/>
    <n v="299.99"/>
    <s v="Credit Card"/>
    <x v="0"/>
    <s v="Premium"/>
    <d v="2021-10-25T00:00:00"/>
    <n v="899.97"/>
  </r>
  <r>
    <s v="TRX0211"/>
    <x v="72"/>
    <s v="CUST046"/>
    <x v="3"/>
    <s v="P010"/>
    <s v="Keyboard"/>
    <s v="Electronics"/>
    <n v="2"/>
    <n v="89.99"/>
    <s v="Credit Card"/>
    <x v="1"/>
    <s v="Premium"/>
    <d v="2022-03-21T00:00:00"/>
    <n v="179.98"/>
  </r>
  <r>
    <s v="TRX0005"/>
    <x v="73"/>
    <s v="CUST042"/>
    <x v="43"/>
    <s v="P003"/>
    <s v="Headphones"/>
    <s v="Electronics"/>
    <n v="4"/>
    <n v="149.99"/>
    <s v="Cash"/>
    <x v="2"/>
    <s v="Basic"/>
    <d v="2022-12-14T00:00:00"/>
    <n v="599.96"/>
  </r>
  <r>
    <s v="TRX0195"/>
    <x v="74"/>
    <s v="CUST026"/>
    <x v="8"/>
    <s v="P009"/>
    <s v="Monitor"/>
    <s v="Electronics"/>
    <n v="2"/>
    <n v="249.99"/>
    <s v="PayPal"/>
    <x v="1"/>
    <s v="Basic"/>
    <d v="2023-03-08T00:00:00"/>
    <n v="499.98"/>
  </r>
  <r>
    <s v="TRX0054"/>
    <x v="74"/>
    <s v="CUST004"/>
    <x v="31"/>
    <s v="P006"/>
    <s v="Office Chair"/>
    <s v="Furniture"/>
    <n v="4"/>
    <n v="199.99"/>
    <s v="Debit Card"/>
    <x v="4"/>
    <s v="Basic"/>
    <d v="2021-09-19T00:00:00"/>
    <n v="799.96"/>
  </r>
  <r>
    <s v="TRX0077"/>
    <x v="75"/>
    <s v="CUST019"/>
    <x v="29"/>
    <s v="P010"/>
    <s v="Keyboard"/>
    <s v="Electronics"/>
    <n v="5"/>
    <n v="89.99"/>
    <s v="Credit Card"/>
    <x v="4"/>
    <s v="Premium"/>
    <d v="2021-09-07T00:00:00"/>
    <n v="449.95"/>
  </r>
  <r>
    <s v="TRX0111"/>
    <x v="75"/>
    <s v="CUST011"/>
    <x v="44"/>
    <s v="P003"/>
    <s v="Headphones"/>
    <s v="Electronics"/>
    <n v="1"/>
    <n v="149.99"/>
    <s v="PayPal"/>
    <x v="4"/>
    <s v="Standard"/>
    <d v="2021-10-13T00:00:00"/>
    <n v="149.99"/>
  </r>
  <r>
    <s v="TRX0123"/>
    <x v="75"/>
    <s v="CUST041"/>
    <x v="10"/>
    <s v="P002"/>
    <s v="Smartphone"/>
    <s v="Electronics"/>
    <n v="4"/>
    <n v="699.99"/>
    <s v="PayPal"/>
    <x v="1"/>
    <s v="Basic"/>
    <d v="2022-02-26T00:00:00"/>
    <n v="2799.96"/>
  </r>
  <r>
    <s v="TRX0177"/>
    <x v="76"/>
    <s v="CUST032"/>
    <x v="42"/>
    <s v="P001"/>
    <s v="Laptop"/>
    <s v="Electronics"/>
    <n v="3"/>
    <n v="899.99"/>
    <s v="Credit Card"/>
    <x v="2"/>
    <s v="Standard"/>
    <d v="2023-08-19T00:00:00"/>
    <n v="2699.97"/>
  </r>
  <r>
    <s v="TRX0119"/>
    <x v="77"/>
    <s v="CUST014"/>
    <x v="21"/>
    <s v="P008"/>
    <s v="Bookshelf"/>
    <s v="Furniture"/>
    <n v="3"/>
    <n v="149.99"/>
    <s v="PayPal"/>
    <x v="4"/>
    <s v="Basic"/>
    <d v="2022-11-21T00:00:00"/>
    <n v="449.97"/>
  </r>
  <r>
    <s v="TRX0181"/>
    <x v="78"/>
    <s v="CUST012"/>
    <x v="18"/>
    <s v="P007"/>
    <s v="Desk"/>
    <s v="Furniture"/>
    <n v="2"/>
    <n v="299.99"/>
    <s v="Debit Card"/>
    <x v="0"/>
    <s v="Basic"/>
    <d v="2022-01-08T00:00:00"/>
    <n v="599.98"/>
  </r>
  <r>
    <s v="TRX0129"/>
    <x v="79"/>
    <s v="CUST015"/>
    <x v="45"/>
    <s v="P006"/>
    <s v="Office Chair"/>
    <s v="Furniture"/>
    <n v="1"/>
    <n v="199.99"/>
    <s v="Debit Card"/>
    <x v="4"/>
    <s v="Standard"/>
    <d v="2023-01-27T00:00:00"/>
    <n v="199.99"/>
  </r>
  <r>
    <s v="TRX0174"/>
    <x v="80"/>
    <s v="CUST003"/>
    <x v="4"/>
    <s v="P007"/>
    <s v="Desk"/>
    <s v="Furniture"/>
    <n v="4"/>
    <n v="299.99"/>
    <s v="Cash"/>
    <x v="0"/>
    <s v="Premium"/>
    <d v="2021-09-21T00:00:00"/>
    <n v="1199.96"/>
  </r>
  <r>
    <s v="TRX0146"/>
    <x v="81"/>
    <s v="CUST010"/>
    <x v="15"/>
    <s v="P005"/>
    <s v="Blender"/>
    <s v="Appliances"/>
    <n v="2"/>
    <n v="59.99"/>
    <s v="Credit Card"/>
    <x v="0"/>
    <s v="Basic"/>
    <d v="2022-01-18T00:00:00"/>
    <n v="119.98"/>
  </r>
  <r>
    <s v="TRX0203"/>
    <x v="81"/>
    <s v="CUST032"/>
    <x v="42"/>
    <s v="P003"/>
    <s v="Headphones"/>
    <s v="Electronics"/>
    <n v="4"/>
    <n v="149.99"/>
    <s v="Credit Card"/>
    <x v="2"/>
    <s v="Premium"/>
    <d v="2023-05-30T00:00:00"/>
    <n v="599.96"/>
  </r>
  <r>
    <s v="TRX0055"/>
    <x v="82"/>
    <s v="CUST016"/>
    <x v="39"/>
    <s v="P002"/>
    <s v="Smartphone"/>
    <s v="Electronics"/>
    <n v="2"/>
    <n v="699.99"/>
    <s v="Debit Card"/>
    <x v="4"/>
    <s v="Premium"/>
    <d v="2023-12-14T00:00:00"/>
    <n v="1399.98"/>
  </r>
  <r>
    <s v="TRX0218"/>
    <x v="82"/>
    <s v="CUST034"/>
    <x v="41"/>
    <s v="P008"/>
    <s v="Bookshelf"/>
    <s v="Furniture"/>
    <n v="3"/>
    <n v="149.99"/>
    <s v="Credit Card"/>
    <x v="1"/>
    <s v="Standard"/>
    <d v="2023-01-14T00:00:00"/>
    <n v="449.97"/>
  </r>
  <r>
    <s v="TRX0085"/>
    <x v="83"/>
    <s v="CUST019"/>
    <x v="29"/>
    <s v="P007"/>
    <s v="Desk"/>
    <s v="Furniture"/>
    <n v="3"/>
    <n v="299.99"/>
    <s v="Credit Card"/>
    <x v="0"/>
    <s v="Standard"/>
    <d v="2023-09-05T00:00:00"/>
    <n v="899.97"/>
  </r>
  <r>
    <s v="TRX0158"/>
    <x v="84"/>
    <s v="CUST027"/>
    <x v="13"/>
    <s v="P001"/>
    <s v="Laptop"/>
    <s v="Electronics"/>
    <n v="3"/>
    <n v="899.99"/>
    <s v="PayPal"/>
    <x v="3"/>
    <s v="Basic"/>
    <d v="2023-10-16T00:00:00"/>
    <n v="2699.97"/>
  </r>
  <r>
    <s v="TRX0173"/>
    <x v="85"/>
    <s v="CUST018"/>
    <x v="17"/>
    <s v="P002"/>
    <s v="Smartphone"/>
    <s v="Electronics"/>
    <n v="5"/>
    <n v="699.99"/>
    <s v="Cash"/>
    <x v="4"/>
    <s v="Standard"/>
    <d v="2023-03-23T00:00:00"/>
    <n v="3499.95"/>
  </r>
  <r>
    <s v="TRX0034"/>
    <x v="85"/>
    <s v="CUST049"/>
    <x v="34"/>
    <s v="P002"/>
    <s v="Smartphone"/>
    <s v="Electronics"/>
    <n v="4"/>
    <n v="699.99"/>
    <s v="Credit Card"/>
    <x v="0"/>
    <s v="Basic"/>
    <d v="2024-04-03T00:00:00"/>
    <n v="2799.96"/>
  </r>
  <r>
    <s v="TRX0189"/>
    <x v="85"/>
    <s v="CUST040"/>
    <x v="30"/>
    <s v="P001"/>
    <s v="Laptop"/>
    <s v="Electronics"/>
    <n v="1"/>
    <n v="899.99"/>
    <s v="Credit Card"/>
    <x v="4"/>
    <s v="Standard"/>
    <d v="2024-03-18T00:00:00"/>
    <n v="899.99"/>
  </r>
  <r>
    <s v="TRX0190"/>
    <x v="86"/>
    <s v="CUST039"/>
    <x v="40"/>
    <s v="P003"/>
    <s v="Headphones"/>
    <s v="Electronics"/>
    <n v="2"/>
    <n v="149.99"/>
    <s v="Credit Card"/>
    <x v="3"/>
    <s v="Basic"/>
    <d v="2022-12-21T00:00:00"/>
    <n v="299.98"/>
  </r>
  <r>
    <s v="TRX0079"/>
    <x v="87"/>
    <s v="CUST039"/>
    <x v="40"/>
    <s v="P010"/>
    <s v="Keyboard"/>
    <s v="Electronics"/>
    <n v="3"/>
    <n v="89.99"/>
    <s v="PayPal"/>
    <x v="0"/>
    <s v="Basic"/>
    <d v="2021-12-21T00:00:00"/>
    <n v="269.97000000000003"/>
  </r>
  <r>
    <s v="TRX0095"/>
    <x v="88"/>
    <s v="CUST046"/>
    <x v="3"/>
    <s v="P003"/>
    <s v="Headphones"/>
    <s v="Electronics"/>
    <n v="2"/>
    <n v="149.99"/>
    <s v="PayPal"/>
    <x v="0"/>
    <s v="Basic"/>
    <d v="2021-10-04T00:00:00"/>
    <n v="299.98"/>
  </r>
  <r>
    <s v="TRX0009"/>
    <x v="88"/>
    <s v="CUST004"/>
    <x v="31"/>
    <s v="P002"/>
    <s v="Smartphone"/>
    <s v="Electronics"/>
    <n v="2"/>
    <n v="699.99"/>
    <s v="Cash"/>
    <x v="0"/>
    <s v="Basic"/>
    <d v="2023-03-07T00:00:00"/>
    <n v="1399.98"/>
  </r>
  <r>
    <s v="TRX0167"/>
    <x v="89"/>
    <s v="CUST028"/>
    <x v="32"/>
    <s v="P002"/>
    <s v="Smartphone"/>
    <s v="Electronics"/>
    <n v="5"/>
    <n v="699.99"/>
    <s v="Cash"/>
    <x v="2"/>
    <s v="Premium"/>
    <d v="2022-03-15T00:00:00"/>
    <n v="3499.95"/>
  </r>
  <r>
    <s v="TRX0153"/>
    <x v="90"/>
    <s v="CUST049"/>
    <x v="34"/>
    <s v="P010"/>
    <s v="Keyboard"/>
    <s v="Electronics"/>
    <n v="3"/>
    <n v="89.99"/>
    <s v="Credit Card"/>
    <x v="2"/>
    <s v="Standard"/>
    <d v="2022-02-23T00:00:00"/>
    <n v="269.97000000000003"/>
  </r>
  <r>
    <s v="TRX0057"/>
    <x v="91"/>
    <s v="CUST023"/>
    <x v="0"/>
    <s v="P009"/>
    <s v="Monitor"/>
    <s v="Electronics"/>
    <n v="5"/>
    <n v="249.99"/>
    <s v="Credit Card"/>
    <x v="1"/>
    <s v="Standard"/>
    <d v="2022-11-16T00:00:00"/>
    <n v="1249.95"/>
  </r>
  <r>
    <s v="TRX0017"/>
    <x v="92"/>
    <s v="CUST026"/>
    <x v="8"/>
    <s v="P007"/>
    <s v="Desk"/>
    <s v="Furniture"/>
    <n v="3"/>
    <n v="299.99"/>
    <s v="Credit Card"/>
    <x v="1"/>
    <s v="Standard"/>
    <d v="2021-11-02T00:00:00"/>
    <n v="899.97"/>
  </r>
  <r>
    <s v="TRX0060"/>
    <x v="93"/>
    <s v="CUST012"/>
    <x v="18"/>
    <s v="P010"/>
    <s v="Keyboard"/>
    <s v="Electronics"/>
    <n v="3"/>
    <n v="89.99"/>
    <s v="Credit Card"/>
    <x v="2"/>
    <s v="Premium"/>
    <d v="2021-08-12T00:00:00"/>
    <n v="269.97000000000003"/>
  </r>
  <r>
    <s v="TRX0109"/>
    <x v="94"/>
    <s v="CUST010"/>
    <x v="15"/>
    <s v="P008"/>
    <s v="Bookshelf"/>
    <s v="Furniture"/>
    <n v="2"/>
    <n v="149.99"/>
    <s v="Credit Card"/>
    <x v="3"/>
    <s v="Premium"/>
    <d v="2022-10-14T00:00:00"/>
    <n v="299.98"/>
  </r>
  <r>
    <s v="TRX0090"/>
    <x v="95"/>
    <s v="CUST020"/>
    <x v="36"/>
    <s v="P009"/>
    <s v="Monitor"/>
    <s v="Electronics"/>
    <n v="1"/>
    <n v="249.99"/>
    <s v="Credit Card"/>
    <x v="2"/>
    <s v="Premium"/>
    <d v="2022-09-24T00:00:00"/>
    <n v="249.99"/>
  </r>
  <r>
    <s v="TRX0035"/>
    <x v="96"/>
    <s v="CUST041"/>
    <x v="10"/>
    <s v="P003"/>
    <s v="Headphones"/>
    <s v="Electronics"/>
    <n v="3"/>
    <n v="149.99"/>
    <s v="Cash"/>
    <x v="2"/>
    <s v="Basic"/>
    <d v="2022-07-27T00:00:00"/>
    <n v="449.97"/>
  </r>
  <r>
    <s v="TRX0172"/>
    <x v="96"/>
    <s v="CUST023"/>
    <x v="0"/>
    <s v="P005"/>
    <s v="Blender"/>
    <s v="Appliances"/>
    <n v="5"/>
    <n v="59.99"/>
    <s v="PayPal"/>
    <x v="3"/>
    <s v="Premium"/>
    <d v="2022-05-13T00:00:00"/>
    <n v="299.95"/>
  </r>
  <r>
    <s v="TRX0076"/>
    <x v="96"/>
    <s v="CUST012"/>
    <x v="18"/>
    <s v="P009"/>
    <s v="Monitor"/>
    <s v="Electronics"/>
    <n v="4"/>
    <n v="249.99"/>
    <s v="Credit Card"/>
    <x v="3"/>
    <s v="Standard"/>
    <d v="2022-04-08T00:00:00"/>
    <n v="999.96"/>
  </r>
  <r>
    <s v="TRX0210"/>
    <x v="97"/>
    <s v="CUST004"/>
    <x v="31"/>
    <s v="P008"/>
    <s v="Bookshelf"/>
    <s v="Furniture"/>
    <n v="5"/>
    <n v="149.99"/>
    <s v="PayPal"/>
    <x v="0"/>
    <s v="Basic"/>
    <d v="2022-12-06T00:00:00"/>
    <n v="749.95"/>
  </r>
  <r>
    <s v="TRX0149"/>
    <x v="97"/>
    <s v="CUST027"/>
    <x v="13"/>
    <s v="P005"/>
    <s v="Blender"/>
    <s v="Appliances"/>
    <n v="3"/>
    <n v="59.99"/>
    <s v="Debit Card"/>
    <x v="1"/>
    <s v="Standard"/>
    <d v="2023-11-30T00:00:00"/>
    <n v="179.97"/>
  </r>
  <r>
    <s v="TRX0073"/>
    <x v="98"/>
    <s v="CUST032"/>
    <x v="42"/>
    <s v="P008"/>
    <s v="Bookshelf"/>
    <s v="Furniture"/>
    <n v="5"/>
    <n v="149.99"/>
    <s v="Cash"/>
    <x v="2"/>
    <s v="Basic"/>
    <d v="2022-11-04T00:00:00"/>
    <n v="749.95"/>
  </r>
  <r>
    <s v="TRX0033"/>
    <x v="98"/>
    <s v="CUST025"/>
    <x v="14"/>
    <s v="P002"/>
    <s v="Smartphone"/>
    <s v="Electronics"/>
    <n v="2"/>
    <n v="699.99"/>
    <s v="PayPal"/>
    <x v="3"/>
    <s v="Standard"/>
    <d v="2022-07-28T00:00:00"/>
    <n v="1399.98"/>
  </r>
  <r>
    <s v="TRX0160"/>
    <x v="99"/>
    <s v="CUST029"/>
    <x v="23"/>
    <s v="P006"/>
    <s v="Office Chair"/>
    <s v="Furniture"/>
    <n v="4"/>
    <n v="199.99"/>
    <s v="Debit Card"/>
    <x v="0"/>
    <s v="Premium"/>
    <d v="2021-08-19T00:00:00"/>
    <n v="799.96"/>
  </r>
  <r>
    <s v="TRX0145"/>
    <x v="100"/>
    <s v="CUST033"/>
    <x v="37"/>
    <s v="P005"/>
    <s v="Blender"/>
    <s v="Appliances"/>
    <n v="1"/>
    <n v="59.99"/>
    <s v="Debit Card"/>
    <x v="3"/>
    <s v="Standard"/>
    <d v="2021-12-30T00:00:00"/>
    <n v="59.99"/>
  </r>
  <r>
    <s v="TRX0148"/>
    <x v="100"/>
    <s v="CUST004"/>
    <x v="31"/>
    <s v="P002"/>
    <s v="Smartphone"/>
    <s v="Electronics"/>
    <n v="3"/>
    <n v="699.99"/>
    <s v="PayPal"/>
    <x v="3"/>
    <s v="Standard"/>
    <d v="2022-01-22T00:00:00"/>
    <n v="2099.9699999999998"/>
  </r>
  <r>
    <s v="TRX0012"/>
    <x v="101"/>
    <s v="CUST045"/>
    <x v="46"/>
    <s v="P009"/>
    <s v="Monitor"/>
    <s v="Electronics"/>
    <n v="5"/>
    <n v="249.99"/>
    <s v="Credit Card"/>
    <x v="2"/>
    <s v="Basic"/>
    <d v="2022-11-08T00:00:00"/>
    <n v="1249.95"/>
  </r>
  <r>
    <s v="TRX0206"/>
    <x v="102"/>
    <s v="CUST014"/>
    <x v="21"/>
    <s v="P008"/>
    <s v="Bookshelf"/>
    <s v="Furniture"/>
    <n v="2"/>
    <n v="149.99"/>
    <s v="Cash"/>
    <x v="1"/>
    <s v="Standard"/>
    <d v="2023-06-24T00:00:00"/>
    <n v="299.98"/>
  </r>
  <r>
    <s v="TRX0045"/>
    <x v="103"/>
    <s v="CUST021"/>
    <x v="2"/>
    <s v="P007"/>
    <s v="Desk"/>
    <s v="Furniture"/>
    <n v="3"/>
    <n v="299.99"/>
    <s v="Cash"/>
    <x v="1"/>
    <s v="Premium"/>
    <d v="2022-04-08T00:00:00"/>
    <n v="899.97"/>
  </r>
  <r>
    <s v="TRX0094"/>
    <x v="103"/>
    <s v="CUST017"/>
    <x v="6"/>
    <s v="P009"/>
    <s v="Monitor"/>
    <s v="Electronics"/>
    <n v="5"/>
    <n v="249.99"/>
    <s v="Cash"/>
    <x v="0"/>
    <s v="Premium"/>
    <d v="2021-10-16T00:00:00"/>
    <n v="1249.95"/>
  </r>
  <r>
    <s v="TRX0133"/>
    <x v="103"/>
    <s v="CUST013"/>
    <x v="1"/>
    <s v="P003"/>
    <s v="Headphones"/>
    <s v="Electronics"/>
    <n v="2"/>
    <n v="149.99"/>
    <s v="Cash"/>
    <x v="1"/>
    <s v="Premium"/>
    <d v="2021-10-06T00:00:00"/>
    <n v="299.98"/>
  </r>
  <r>
    <s v="TRX0201"/>
    <x v="103"/>
    <s v="CUST025"/>
    <x v="14"/>
    <s v="P002"/>
    <s v="Smartphone"/>
    <s v="Electronics"/>
    <n v="5"/>
    <n v="699.99"/>
    <s v="Debit Card"/>
    <x v="3"/>
    <s v="Standard"/>
    <d v="2023-01-18T00:00:00"/>
    <n v="3499.95"/>
  </r>
  <r>
    <s v="TRX0137"/>
    <x v="104"/>
    <s v="CUST011"/>
    <x v="44"/>
    <s v="P009"/>
    <s v="Monitor"/>
    <s v="Electronics"/>
    <n v="4"/>
    <n v="249.99"/>
    <s v="PayPal"/>
    <x v="4"/>
    <s v="Premium"/>
    <d v="2023-06-21T00:00:00"/>
    <n v="999.96"/>
  </r>
  <r>
    <s v="TRX0066"/>
    <x v="105"/>
    <s v="CUST024"/>
    <x v="5"/>
    <s v="P002"/>
    <s v="Smartphone"/>
    <s v="Electronics"/>
    <n v="4"/>
    <n v="699.99"/>
    <s v="Credit Card"/>
    <x v="2"/>
    <s v="Premium"/>
    <d v="2022-05-22T00:00:00"/>
    <n v="2799.96"/>
  </r>
  <r>
    <s v="TRX0180"/>
    <x v="106"/>
    <s v="CUST036"/>
    <x v="20"/>
    <s v="P009"/>
    <s v="Monitor"/>
    <s v="Electronics"/>
    <n v="2"/>
    <n v="249.99"/>
    <s v="Credit Card"/>
    <x v="0"/>
    <s v="Premium"/>
    <d v="2021-07-19T00:00:00"/>
    <n v="499.98"/>
  </r>
  <r>
    <s v="TRX0082"/>
    <x v="106"/>
    <s v="CUST005"/>
    <x v="47"/>
    <s v="P005"/>
    <s v="Blender"/>
    <s v="Appliances"/>
    <n v="3"/>
    <n v="59.99"/>
    <s v="Cash"/>
    <x v="0"/>
    <s v="Premium"/>
    <d v="2023-05-06T00:00:00"/>
    <n v="179.97"/>
  </r>
  <r>
    <s v="TRX0036"/>
    <x v="106"/>
    <s v="CUST008"/>
    <x v="27"/>
    <s v="P004"/>
    <s v="Coffee Maker"/>
    <s v="Appliances"/>
    <n v="4"/>
    <n v="79.989999999999995"/>
    <s v="Debit Card"/>
    <x v="4"/>
    <s v="Standard"/>
    <d v="2022-12-26T00:00:00"/>
    <n v="319.95999999999998"/>
  </r>
  <r>
    <s v="TRX0198"/>
    <x v="107"/>
    <s v="CUST030"/>
    <x v="22"/>
    <s v="P004"/>
    <s v="Coffee Maker"/>
    <s v="Appliances"/>
    <n v="3"/>
    <n v="79.989999999999995"/>
    <s v="Debit Card"/>
    <x v="4"/>
    <s v="Standard"/>
    <d v="2022-08-06T00:00:00"/>
    <n v="239.97"/>
  </r>
  <r>
    <s v="TRX0032"/>
    <x v="108"/>
    <s v="CUST041"/>
    <x v="10"/>
    <s v="P001"/>
    <s v="Laptop"/>
    <s v="Electronics"/>
    <n v="2"/>
    <n v="899.99"/>
    <s v="Cash"/>
    <x v="2"/>
    <s v="Basic"/>
    <d v="2021-07-29T00:00:00"/>
    <n v="1799.98"/>
  </r>
  <r>
    <s v="TRX0081"/>
    <x v="109"/>
    <s v="CUST007"/>
    <x v="35"/>
    <s v="P008"/>
    <s v="Bookshelf"/>
    <s v="Furniture"/>
    <n v="1"/>
    <n v="149.99"/>
    <s v="Debit Card"/>
    <x v="4"/>
    <s v="Standard"/>
    <d v="2023-10-01T00:00:00"/>
    <n v="149.99"/>
  </r>
  <r>
    <s v="TRX0224"/>
    <x v="109"/>
    <s v="CUST031"/>
    <x v="26"/>
    <s v="P007"/>
    <s v="Desk"/>
    <s v="Furniture"/>
    <n v="2"/>
    <n v="299.99"/>
    <s v="Cash"/>
    <x v="4"/>
    <s v="Premium"/>
    <d v="2022-06-12T00:00:00"/>
    <n v="599.98"/>
  </r>
  <r>
    <s v="TRX0028"/>
    <x v="110"/>
    <s v="CUST002"/>
    <x v="25"/>
    <s v="P005"/>
    <s v="Blender"/>
    <s v="Appliances"/>
    <n v="2"/>
    <n v="59.99"/>
    <s v="Cash"/>
    <x v="3"/>
    <s v="Basic"/>
    <d v="2023-09-22T00:00:00"/>
    <n v="119.98"/>
  </r>
  <r>
    <s v="TRX0183"/>
    <x v="111"/>
    <s v="CUST007"/>
    <x v="35"/>
    <s v="P010"/>
    <s v="Keyboard"/>
    <s v="Electronics"/>
    <n v="1"/>
    <n v="89.99"/>
    <s v="Debit Card"/>
    <x v="0"/>
    <s v="Standard"/>
    <d v="2022-07-18T00:00:00"/>
    <n v="89.99"/>
  </r>
  <r>
    <s v="TRX0163"/>
    <x v="111"/>
    <s v="CUST019"/>
    <x v="29"/>
    <s v="P001"/>
    <s v="Laptop"/>
    <s v="Electronics"/>
    <n v="5"/>
    <n v="899.99"/>
    <s v="Debit Card"/>
    <x v="4"/>
    <s v="Standard"/>
    <d v="2022-03-05T00:00:00"/>
    <n v="4499.95"/>
  </r>
  <r>
    <s v="TRX0046"/>
    <x v="112"/>
    <s v="CUST003"/>
    <x v="4"/>
    <s v="P008"/>
    <s v="Bookshelf"/>
    <s v="Furniture"/>
    <n v="2"/>
    <n v="149.99"/>
    <s v="Cash"/>
    <x v="1"/>
    <s v="Basic"/>
    <d v="2023-11-09T00:00:00"/>
    <n v="299.98"/>
  </r>
  <r>
    <s v="TRX0164"/>
    <x v="113"/>
    <s v="CUST014"/>
    <x v="21"/>
    <s v="P003"/>
    <s v="Headphones"/>
    <s v="Electronics"/>
    <n v="2"/>
    <n v="149.99"/>
    <s v="Debit Card"/>
    <x v="3"/>
    <s v="Premium"/>
    <d v="2023-12-20T00:00:00"/>
    <n v="299.98"/>
  </r>
  <r>
    <s v="TRX0008"/>
    <x v="113"/>
    <s v="CUST007"/>
    <x v="35"/>
    <s v="P008"/>
    <s v="Bookshelf"/>
    <s v="Furniture"/>
    <n v="3"/>
    <n v="149.99"/>
    <s v="Debit Card"/>
    <x v="2"/>
    <s v="Standard"/>
    <d v="2021-11-22T00:00:00"/>
    <n v="449.97"/>
  </r>
  <r>
    <s v="TRX0171"/>
    <x v="114"/>
    <s v="CUST021"/>
    <x v="2"/>
    <s v="P007"/>
    <s v="Desk"/>
    <s v="Furniture"/>
    <n v="2"/>
    <n v="299.99"/>
    <s v="PayPal"/>
    <x v="1"/>
    <s v="Basic"/>
    <d v="2022-06-09T00:00:00"/>
    <n v="599.98"/>
  </r>
  <r>
    <s v="TRX0143"/>
    <x v="115"/>
    <s v="CUST003"/>
    <x v="4"/>
    <s v="P007"/>
    <s v="Desk"/>
    <s v="Furniture"/>
    <n v="2"/>
    <n v="299.99"/>
    <s v="Cash"/>
    <x v="3"/>
    <s v="Basic"/>
    <d v="2022-07-29T00:00:00"/>
    <n v="599.98"/>
  </r>
  <r>
    <s v="TRX0165"/>
    <x v="115"/>
    <s v="CUST030"/>
    <x v="22"/>
    <s v="P006"/>
    <s v="Office Chair"/>
    <s v="Furniture"/>
    <n v="4"/>
    <n v="199.99"/>
    <s v="Credit Card"/>
    <x v="0"/>
    <s v="Basic"/>
    <d v="2021-11-23T00:00:00"/>
    <n v="799.96"/>
  </r>
  <r>
    <s v="TRX0156"/>
    <x v="116"/>
    <s v="CUST009"/>
    <x v="7"/>
    <s v="P010"/>
    <s v="Keyboard"/>
    <s v="Electronics"/>
    <n v="1"/>
    <n v="89.99"/>
    <s v="Credit Card"/>
    <x v="1"/>
    <s v="Premium"/>
    <d v="2022-01-30T00:00:00"/>
    <n v="89.99"/>
  </r>
  <r>
    <s v="TRX0147"/>
    <x v="116"/>
    <s v="CUST036"/>
    <x v="20"/>
    <s v="P008"/>
    <s v="Bookshelf"/>
    <s v="Furniture"/>
    <n v="5"/>
    <n v="149.99"/>
    <s v="Cash"/>
    <x v="0"/>
    <s v="Premium"/>
    <d v="2024-02-25T00:00:00"/>
    <n v="749.95"/>
  </r>
  <r>
    <s v="TRX0207"/>
    <x v="117"/>
    <s v="CUST025"/>
    <x v="14"/>
    <s v="P001"/>
    <s v="Laptop"/>
    <s v="Electronics"/>
    <n v="1"/>
    <n v="899.99"/>
    <s v="PayPal"/>
    <x v="2"/>
    <s v="Premium"/>
    <d v="2023-05-04T00:00:00"/>
    <n v="899.99"/>
  </r>
  <r>
    <s v="TRX0056"/>
    <x v="118"/>
    <s v="CUST019"/>
    <x v="29"/>
    <s v="P010"/>
    <s v="Keyboard"/>
    <s v="Electronics"/>
    <n v="2"/>
    <n v="89.99"/>
    <s v="Credit Card"/>
    <x v="1"/>
    <s v="Premium"/>
    <d v="2022-01-03T00:00:00"/>
    <n v="179.98"/>
  </r>
  <r>
    <s v="TRX0026"/>
    <x v="119"/>
    <s v="CUST037"/>
    <x v="48"/>
    <s v="P001"/>
    <s v="Laptop"/>
    <s v="Electronics"/>
    <n v="1"/>
    <n v="899.99"/>
    <s v="PayPal"/>
    <x v="2"/>
    <s v="Standard"/>
    <d v="2022-07-10T00:00:00"/>
    <n v="899.99"/>
  </r>
  <r>
    <s v="TRX0237"/>
    <x v="120"/>
    <s v="CUST006"/>
    <x v="24"/>
    <s v="P003"/>
    <s v="Headphones"/>
    <s v="Electronics"/>
    <n v="5"/>
    <n v="149.99"/>
    <s v="PayPal"/>
    <x v="4"/>
    <s v="Premium"/>
    <d v="2022-09-20T00:00:00"/>
    <n v="749.95"/>
  </r>
  <r>
    <s v="TRX0091"/>
    <x v="120"/>
    <s v="CUST003"/>
    <x v="4"/>
    <s v="P007"/>
    <s v="Desk"/>
    <s v="Furniture"/>
    <n v="3"/>
    <n v="299.99"/>
    <s v="Cash"/>
    <x v="1"/>
    <s v="Standard"/>
    <d v="2021-08-14T00:00:00"/>
    <n v="899.97"/>
  </r>
  <r>
    <s v="TRX0125"/>
    <x v="121"/>
    <s v="CUST026"/>
    <x v="8"/>
    <s v="P002"/>
    <s v="Smartphone"/>
    <s v="Electronics"/>
    <n v="3"/>
    <n v="699.99"/>
    <s v="Credit Card"/>
    <x v="0"/>
    <s v="Premium"/>
    <d v="2023-06-28T00:00:00"/>
    <n v="2099.9699999999998"/>
  </r>
  <r>
    <s v="TRX0223"/>
    <x v="122"/>
    <s v="CUST036"/>
    <x v="20"/>
    <s v="P006"/>
    <s v="Office Chair"/>
    <s v="Furniture"/>
    <n v="5"/>
    <n v="199.99"/>
    <s v="PayPal"/>
    <x v="0"/>
    <s v="Standard"/>
    <d v="2022-03-13T00:00:00"/>
    <n v="999.95"/>
  </r>
  <r>
    <s v="TRX0243"/>
    <x v="122"/>
    <s v="CUST048"/>
    <x v="16"/>
    <s v="P009"/>
    <s v="Monitor"/>
    <s v="Electronics"/>
    <n v="5"/>
    <n v="249.99"/>
    <s v="Credit Card"/>
    <x v="1"/>
    <s v="Basic"/>
    <d v="2024-02-08T00:00:00"/>
    <n v="1249.95"/>
  </r>
  <r>
    <s v="TRX0084"/>
    <x v="123"/>
    <s v="CUST031"/>
    <x v="26"/>
    <s v="P003"/>
    <s v="Headphones"/>
    <s v="Electronics"/>
    <n v="4"/>
    <n v="149.99"/>
    <s v="Debit Card"/>
    <x v="4"/>
    <s v="Standard"/>
    <d v="2021-12-06T00:00:00"/>
    <n v="599.96"/>
  </r>
  <r>
    <s v="TRX0238"/>
    <x v="123"/>
    <s v="CUST038"/>
    <x v="12"/>
    <s v="P002"/>
    <s v="Smartphone"/>
    <s v="Electronics"/>
    <n v="3"/>
    <n v="699.99"/>
    <s v="Cash"/>
    <x v="2"/>
    <s v="Premium"/>
    <d v="2022-02-10T00:00:00"/>
    <n v="2099.9699999999998"/>
  </r>
  <r>
    <s v="TRX0102"/>
    <x v="124"/>
    <s v="CUST045"/>
    <x v="46"/>
    <s v="P004"/>
    <s v="Coffee Maker"/>
    <s v="Appliances"/>
    <n v="1"/>
    <n v="79.989999999999995"/>
    <s v="Credit Card"/>
    <x v="1"/>
    <s v="Basic"/>
    <d v="2024-01-31T00:00:00"/>
    <n v="79.989999999999995"/>
  </r>
  <r>
    <s v="TRX0022"/>
    <x v="124"/>
    <s v="CUST025"/>
    <x v="14"/>
    <s v="P007"/>
    <s v="Desk"/>
    <s v="Furniture"/>
    <n v="1"/>
    <n v="299.99"/>
    <s v="Credit Card"/>
    <x v="2"/>
    <s v="Basic"/>
    <d v="2021-08-28T00:00:00"/>
    <n v="299.99"/>
  </r>
  <r>
    <s v="TRX0087"/>
    <x v="125"/>
    <s v="CUST028"/>
    <x v="32"/>
    <s v="P009"/>
    <s v="Monitor"/>
    <s v="Electronics"/>
    <n v="4"/>
    <n v="249.99"/>
    <s v="Credit Card"/>
    <x v="2"/>
    <s v="Premium"/>
    <d v="2021-09-21T00:00:00"/>
    <n v="999.96"/>
  </r>
  <r>
    <s v="TRX0107"/>
    <x v="125"/>
    <s v="CUST030"/>
    <x v="22"/>
    <s v="P003"/>
    <s v="Headphones"/>
    <s v="Electronics"/>
    <n v="2"/>
    <n v="149.99"/>
    <s v="Cash"/>
    <x v="2"/>
    <s v="Standard"/>
    <d v="2022-12-18T00:00:00"/>
    <n v="299.98"/>
  </r>
  <r>
    <s v="TRX0051"/>
    <x v="125"/>
    <s v="CUST032"/>
    <x v="42"/>
    <s v="P007"/>
    <s v="Desk"/>
    <s v="Furniture"/>
    <n v="3"/>
    <n v="299.99"/>
    <s v="Credit Card"/>
    <x v="1"/>
    <s v="Basic"/>
    <d v="2023-10-05T00:00:00"/>
    <n v="899.97"/>
  </r>
  <r>
    <s v="TRX0106"/>
    <x v="126"/>
    <s v="CUST039"/>
    <x v="40"/>
    <s v="P006"/>
    <s v="Office Chair"/>
    <s v="Furniture"/>
    <n v="4"/>
    <n v="199.99"/>
    <s v="Debit Card"/>
    <x v="1"/>
    <s v="Standard"/>
    <d v="2021-12-14T00:00:00"/>
    <n v="799.96"/>
  </r>
  <r>
    <s v="TRX0059"/>
    <x v="126"/>
    <s v="CUST016"/>
    <x v="39"/>
    <s v="P007"/>
    <s v="Desk"/>
    <s v="Furniture"/>
    <n v="5"/>
    <n v="299.99"/>
    <s v="Debit Card"/>
    <x v="0"/>
    <s v="Basic"/>
    <d v="2021-08-23T00:00:00"/>
    <n v="1499.95"/>
  </r>
  <r>
    <s v="TRX0072"/>
    <x v="126"/>
    <s v="CUST009"/>
    <x v="7"/>
    <s v="P008"/>
    <s v="Bookshelf"/>
    <s v="Furniture"/>
    <n v="3"/>
    <n v="149.99"/>
    <s v="Credit Card"/>
    <x v="4"/>
    <s v="Standard"/>
    <d v="2021-07-18T00:00:00"/>
    <n v="449.97"/>
  </r>
  <r>
    <s v="TRX0110"/>
    <x v="127"/>
    <s v="CUST006"/>
    <x v="24"/>
    <s v="P005"/>
    <s v="Blender"/>
    <s v="Appliances"/>
    <n v="5"/>
    <n v="59.99"/>
    <s v="Debit Card"/>
    <x v="4"/>
    <s v="Basic"/>
    <d v="2022-03-22T00:00:00"/>
    <n v="299.95"/>
  </r>
  <r>
    <s v="TRX0126"/>
    <x v="128"/>
    <s v="CUST022"/>
    <x v="9"/>
    <s v="P005"/>
    <s v="Blender"/>
    <s v="Appliances"/>
    <n v="4"/>
    <n v="59.99"/>
    <s v="Debit Card"/>
    <x v="4"/>
    <s v="Standard"/>
    <d v="2022-01-03T00:00:00"/>
    <n v="239.96"/>
  </r>
  <r>
    <s v="TRX0159"/>
    <x v="129"/>
    <s v="CUST024"/>
    <x v="5"/>
    <s v="P009"/>
    <s v="Monitor"/>
    <s v="Electronics"/>
    <n v="4"/>
    <n v="249.99"/>
    <s v="Debit Card"/>
    <x v="0"/>
    <s v="Premium"/>
    <d v="2023-10-18T00:00:00"/>
    <n v="999.96"/>
  </r>
  <r>
    <s v="TRX0030"/>
    <x v="130"/>
    <s v="CUST011"/>
    <x v="44"/>
    <s v="P001"/>
    <s v="Laptop"/>
    <s v="Electronics"/>
    <n v="4"/>
    <n v="899.99"/>
    <s v="PayPal"/>
    <x v="0"/>
    <s v="Basic"/>
    <d v="2022-06-22T00:00:00"/>
    <n v="3599.96"/>
  </r>
  <r>
    <s v="TRX0178"/>
    <x v="130"/>
    <s v="CUST025"/>
    <x v="14"/>
    <s v="P007"/>
    <s v="Desk"/>
    <s v="Furniture"/>
    <n v="3"/>
    <n v="299.99"/>
    <s v="Debit Card"/>
    <x v="3"/>
    <s v="Standard"/>
    <d v="2023-01-26T00:00:00"/>
    <n v="899.97"/>
  </r>
  <r>
    <s v="TRX0188"/>
    <x v="130"/>
    <s v="CUST045"/>
    <x v="46"/>
    <s v="P002"/>
    <s v="Smartphone"/>
    <s v="Electronics"/>
    <n v="2"/>
    <n v="699.99"/>
    <s v="Debit Card"/>
    <x v="0"/>
    <s v="Premium"/>
    <d v="2022-04-30T00:00:00"/>
    <n v="1399.98"/>
  </r>
  <r>
    <s v="TRX0010"/>
    <x v="131"/>
    <s v="CUST026"/>
    <x v="8"/>
    <s v="P002"/>
    <s v="Smartphone"/>
    <s v="Electronics"/>
    <n v="4"/>
    <n v="699.99"/>
    <s v="Debit Card"/>
    <x v="3"/>
    <s v="Premium"/>
    <d v="2022-05-11T00:00:00"/>
    <n v="2799.96"/>
  </r>
  <r>
    <s v="TRX0069"/>
    <x v="131"/>
    <s v="CUST029"/>
    <x v="23"/>
    <s v="P010"/>
    <s v="Keyboard"/>
    <s v="Electronics"/>
    <n v="2"/>
    <n v="89.99"/>
    <s v="Debit Card"/>
    <x v="1"/>
    <s v="Basic"/>
    <d v="2022-08-04T00:00:00"/>
    <n v="179.98"/>
  </r>
  <r>
    <s v="TRX0166"/>
    <x v="131"/>
    <s v="CUST003"/>
    <x v="4"/>
    <s v="P010"/>
    <s v="Keyboard"/>
    <s v="Electronics"/>
    <n v="3"/>
    <n v="89.99"/>
    <s v="Debit Card"/>
    <x v="1"/>
    <s v="Premium"/>
    <d v="2024-01-16T00:00:00"/>
    <n v="269.97000000000003"/>
  </r>
  <r>
    <s v="TRX0219"/>
    <x v="132"/>
    <s v="CUST037"/>
    <x v="48"/>
    <s v="P005"/>
    <s v="Blender"/>
    <s v="Appliances"/>
    <n v="1"/>
    <n v="59.99"/>
    <s v="Debit Card"/>
    <x v="0"/>
    <s v="Standard"/>
    <d v="2023-04-29T00:00:00"/>
    <n v="59.99"/>
  </r>
  <r>
    <s v="TRX0024"/>
    <x v="133"/>
    <s v="CUST042"/>
    <x v="43"/>
    <s v="P008"/>
    <s v="Bookshelf"/>
    <s v="Furniture"/>
    <n v="3"/>
    <n v="149.99"/>
    <s v="Debit Card"/>
    <x v="2"/>
    <s v="Premium"/>
    <d v="2022-01-03T00:00:00"/>
    <n v="449.97"/>
  </r>
  <r>
    <s v="TRX0105"/>
    <x v="133"/>
    <s v="CUST048"/>
    <x v="16"/>
    <s v="P007"/>
    <s v="Desk"/>
    <s v="Furniture"/>
    <n v="5"/>
    <n v="299.99"/>
    <s v="Credit Card"/>
    <x v="1"/>
    <s v="Basic"/>
    <d v="2023-02-02T00:00:00"/>
    <n v="1499.95"/>
  </r>
  <r>
    <s v="TRX0011"/>
    <x v="134"/>
    <s v="CUST040"/>
    <x v="30"/>
    <s v="P005"/>
    <s v="Blender"/>
    <s v="Appliances"/>
    <n v="5"/>
    <n v="59.99"/>
    <s v="Debit Card"/>
    <x v="0"/>
    <s v="Standard"/>
    <d v="2023-09-08T00:00:00"/>
    <n v="299.95"/>
  </r>
  <r>
    <s v="TRX0187"/>
    <x v="135"/>
    <s v="CUST036"/>
    <x v="20"/>
    <s v="P004"/>
    <s v="Coffee Maker"/>
    <s v="Appliances"/>
    <n v="3"/>
    <n v="79.989999999999995"/>
    <s v="Cash"/>
    <x v="4"/>
    <s v="Premium"/>
    <d v="2021-08-28T00:00:00"/>
    <n v="239.97"/>
  </r>
  <r>
    <s v="TRX0089"/>
    <x v="136"/>
    <s v="CUST021"/>
    <x v="2"/>
    <s v="P006"/>
    <s v="Office Chair"/>
    <s v="Furniture"/>
    <n v="3"/>
    <n v="199.99"/>
    <s v="Cash"/>
    <x v="0"/>
    <s v="Basic"/>
    <d v="2022-06-23T00:00:00"/>
    <n v="599.97"/>
  </r>
  <r>
    <s v="TRX0196"/>
    <x v="136"/>
    <s v="CUST023"/>
    <x v="0"/>
    <s v="P010"/>
    <s v="Keyboard"/>
    <s v="Electronics"/>
    <n v="2"/>
    <n v="89.99"/>
    <s v="PayPal"/>
    <x v="0"/>
    <s v="Basic"/>
    <d v="2023-11-27T00:00:00"/>
    <n v="179.98"/>
  </r>
  <r>
    <s v="TRX0118"/>
    <x v="137"/>
    <s v="CUST015"/>
    <x v="45"/>
    <s v="P008"/>
    <s v="Bookshelf"/>
    <s v="Furniture"/>
    <n v="2"/>
    <n v="149.99"/>
    <s v="Cash"/>
    <x v="1"/>
    <s v="Premium"/>
    <d v="2022-06-16T00:00:00"/>
    <n v="299.98"/>
  </r>
  <r>
    <s v="TRX0179"/>
    <x v="138"/>
    <s v="CUST029"/>
    <x v="23"/>
    <s v="P002"/>
    <s v="Smartphone"/>
    <s v="Electronics"/>
    <n v="5"/>
    <n v="699.99"/>
    <s v="PayPal"/>
    <x v="1"/>
    <s v="Premium"/>
    <d v="2024-03-01T00:00:00"/>
    <n v="3499.95"/>
  </r>
  <r>
    <s v="TRX0168"/>
    <x v="138"/>
    <s v="CUST003"/>
    <x v="4"/>
    <s v="P008"/>
    <s v="Bookshelf"/>
    <s v="Furniture"/>
    <n v="3"/>
    <n v="149.99"/>
    <s v="PayPal"/>
    <x v="0"/>
    <s v="Standard"/>
    <d v="2022-03-13T00:00:00"/>
    <n v="449.97"/>
  </r>
  <r>
    <s v="TRX0214"/>
    <x v="139"/>
    <s v="CUST018"/>
    <x v="17"/>
    <s v="P001"/>
    <s v="Laptop"/>
    <s v="Electronics"/>
    <n v="3"/>
    <n v="899.99"/>
    <s v="Cash"/>
    <x v="4"/>
    <s v="Standard"/>
    <d v="2022-02-21T00:00:00"/>
    <n v="2699.97"/>
  </r>
  <r>
    <s v="TRX0221"/>
    <x v="139"/>
    <s v="CUST033"/>
    <x v="37"/>
    <s v="P006"/>
    <s v="Office Chair"/>
    <s v="Furniture"/>
    <n v="3"/>
    <n v="199.99"/>
    <s v="Cash"/>
    <x v="3"/>
    <s v="Premium"/>
    <d v="2022-09-19T00:00:00"/>
    <n v="599.97"/>
  </r>
  <r>
    <s v="TRX0083"/>
    <x v="140"/>
    <s v="CUST017"/>
    <x v="6"/>
    <s v="P007"/>
    <s v="Desk"/>
    <s v="Furniture"/>
    <n v="5"/>
    <n v="299.99"/>
    <s v="Cash"/>
    <x v="3"/>
    <s v="Standard"/>
    <d v="2023-08-04T00:00:00"/>
    <n v="1499.95"/>
  </r>
  <r>
    <s v="TRX0151"/>
    <x v="140"/>
    <s v="CUST040"/>
    <x v="30"/>
    <s v="P002"/>
    <s v="Smartphone"/>
    <s v="Electronics"/>
    <n v="1"/>
    <n v="699.99"/>
    <s v="PayPal"/>
    <x v="3"/>
    <s v="Basic"/>
    <d v="2023-01-08T00:00:00"/>
    <n v="699.99"/>
  </r>
  <r>
    <s v="TRX0047"/>
    <x v="141"/>
    <s v="CUST042"/>
    <x v="43"/>
    <s v="P002"/>
    <s v="Smartphone"/>
    <s v="Electronics"/>
    <n v="1"/>
    <n v="699.99"/>
    <s v="Cash"/>
    <x v="2"/>
    <s v="Premium"/>
    <d v="2022-01-22T00:00:00"/>
    <n v="699.99"/>
  </r>
  <r>
    <s v="TRX0200"/>
    <x v="141"/>
    <s v="CUST037"/>
    <x v="48"/>
    <s v="P008"/>
    <s v="Bookshelf"/>
    <s v="Furniture"/>
    <n v="4"/>
    <n v="149.99"/>
    <s v="PayPal"/>
    <x v="2"/>
    <s v="Premium"/>
    <d v="2021-08-04T00:00:00"/>
    <n v="599.96"/>
  </r>
  <r>
    <s v="TRX0062"/>
    <x v="141"/>
    <s v="CUST016"/>
    <x v="39"/>
    <s v="P010"/>
    <s v="Keyboard"/>
    <s v="Electronics"/>
    <n v="5"/>
    <n v="89.99"/>
    <s v="PayPal"/>
    <x v="3"/>
    <s v="Premium"/>
    <d v="2023-08-02T00:00:00"/>
    <n v="449.95"/>
  </r>
  <r>
    <s v="TRX0182"/>
    <x v="142"/>
    <s v="CUST031"/>
    <x v="26"/>
    <s v="P006"/>
    <s v="Office Chair"/>
    <s v="Furniture"/>
    <n v="2"/>
    <n v="199.99"/>
    <s v="Cash"/>
    <x v="0"/>
    <s v="Premium"/>
    <d v="2022-01-12T00:00:00"/>
    <n v="399.98"/>
  </r>
  <r>
    <s v="TRX0229"/>
    <x v="143"/>
    <s v="CUST015"/>
    <x v="45"/>
    <s v="P005"/>
    <s v="Blender"/>
    <s v="Appliances"/>
    <n v="4"/>
    <n v="59.99"/>
    <s v="Cash"/>
    <x v="3"/>
    <s v="Standard"/>
    <d v="2023-05-24T00:00:00"/>
    <n v="239.96"/>
  </r>
  <r>
    <s v="TRX0048"/>
    <x v="143"/>
    <s v="CUST048"/>
    <x v="16"/>
    <s v="P007"/>
    <s v="Desk"/>
    <s v="Furniture"/>
    <n v="2"/>
    <n v="299.99"/>
    <s v="PayPal"/>
    <x v="1"/>
    <s v="Basic"/>
    <d v="2022-01-15T00:00:00"/>
    <n v="599.98"/>
  </r>
  <r>
    <s v="TRX0227"/>
    <x v="144"/>
    <s v="CUST017"/>
    <x v="6"/>
    <s v="P008"/>
    <s v="Bookshelf"/>
    <s v="Furniture"/>
    <n v="2"/>
    <n v="149.99"/>
    <s v="Cash"/>
    <x v="0"/>
    <s v="Basic"/>
    <d v="2023-05-22T00:00:00"/>
    <n v="299.98"/>
  </r>
  <r>
    <s v="TRX0226"/>
    <x v="145"/>
    <s v="CUST039"/>
    <x v="40"/>
    <s v="P002"/>
    <s v="Smartphone"/>
    <s v="Electronics"/>
    <n v="5"/>
    <n v="699.99"/>
    <s v="Debit Card"/>
    <x v="4"/>
    <s v="Premium"/>
    <d v="2023-08-23T00:00:00"/>
    <n v="3499.95"/>
  </r>
  <r>
    <s v="TRX0053"/>
    <x v="146"/>
    <s v="CUST043"/>
    <x v="11"/>
    <s v="P005"/>
    <s v="Blender"/>
    <s v="Appliances"/>
    <n v="5"/>
    <n v="59.99"/>
    <s v="Cash"/>
    <x v="3"/>
    <s v="Premium"/>
    <d v="2023-12-31T00:00:00"/>
    <n v="299.95"/>
  </r>
  <r>
    <s v="TRX0233"/>
    <x v="147"/>
    <s v="CUST023"/>
    <x v="0"/>
    <s v="P010"/>
    <s v="Keyboard"/>
    <s v="Electronics"/>
    <n v="2"/>
    <n v="89.99"/>
    <s v="Credit Card"/>
    <x v="3"/>
    <s v="Premium"/>
    <d v="2024-01-04T00:00:00"/>
    <n v="179.98"/>
  </r>
  <r>
    <s v="TRX0175"/>
    <x v="147"/>
    <s v="CUST030"/>
    <x v="22"/>
    <s v="P009"/>
    <s v="Monitor"/>
    <s v="Electronics"/>
    <n v="5"/>
    <n v="249.99"/>
    <s v="Cash"/>
    <x v="4"/>
    <s v="Standard"/>
    <d v="2021-12-10T00:00:00"/>
    <n v="1249.95"/>
  </r>
  <r>
    <s v="TRX0186"/>
    <x v="148"/>
    <s v="CUST039"/>
    <x v="40"/>
    <s v="P008"/>
    <s v="Bookshelf"/>
    <s v="Furniture"/>
    <n v="2"/>
    <n v="149.99"/>
    <s v="PayPal"/>
    <x v="0"/>
    <s v="Premium"/>
    <d v="2022-03-12T00:00:00"/>
    <n v="299.98"/>
  </r>
  <r>
    <s v="TRX0016"/>
    <x v="148"/>
    <s v="CUST035"/>
    <x v="28"/>
    <s v="P001"/>
    <s v="Laptop"/>
    <s v="Electronics"/>
    <n v="5"/>
    <n v="899.99"/>
    <s v="PayPal"/>
    <x v="4"/>
    <s v="Premium"/>
    <d v="2024-04-07T00:00:00"/>
    <n v="4499.95"/>
  </r>
  <r>
    <s v="TRX0199"/>
    <x v="148"/>
    <s v="CUST017"/>
    <x v="6"/>
    <s v="P008"/>
    <s v="Bookshelf"/>
    <s v="Furniture"/>
    <n v="4"/>
    <n v="149.99"/>
    <s v="Cash"/>
    <x v="0"/>
    <s v="Standard"/>
    <d v="2023-12-03T00:00:00"/>
    <n v="599.96"/>
  </r>
  <r>
    <s v="TRX0038"/>
    <x v="149"/>
    <s v="CUST035"/>
    <x v="28"/>
    <s v="P009"/>
    <s v="Monitor"/>
    <s v="Electronics"/>
    <n v="1"/>
    <n v="249.99"/>
    <s v="Cash"/>
    <x v="2"/>
    <s v="Standard"/>
    <d v="2023-07-10T00:00:00"/>
    <n v="249.99"/>
  </r>
  <r>
    <s v="TRX0014"/>
    <x v="150"/>
    <s v="CUST033"/>
    <x v="37"/>
    <s v="P005"/>
    <s v="Blender"/>
    <s v="Appliances"/>
    <n v="2"/>
    <n v="59.99"/>
    <s v="Credit Card"/>
    <x v="3"/>
    <s v="Basic"/>
    <d v="2023-09-24T00:00:00"/>
    <n v="119.98"/>
  </r>
  <r>
    <s v="TRX0003"/>
    <x v="151"/>
    <s v="CUST002"/>
    <x v="25"/>
    <s v="P008"/>
    <s v="Bookshelf"/>
    <s v="Furniture"/>
    <n v="2"/>
    <n v="149.99"/>
    <s v="Cash"/>
    <x v="3"/>
    <s v="Premium"/>
    <d v="2023-11-03T00:00:00"/>
    <n v="299.98"/>
  </r>
  <r>
    <s v="TRX0124"/>
    <x v="151"/>
    <s v="CUST040"/>
    <x v="30"/>
    <s v="P001"/>
    <s v="Laptop"/>
    <s v="Electronics"/>
    <n v="3"/>
    <n v="899.99"/>
    <s v="Debit Card"/>
    <x v="2"/>
    <s v="Premium"/>
    <d v="2022-11-11T00:00:00"/>
    <n v="2699.97"/>
  </r>
  <r>
    <s v="TRX0013"/>
    <x v="151"/>
    <s v="CUST024"/>
    <x v="5"/>
    <s v="P001"/>
    <s v="Laptop"/>
    <s v="Electronics"/>
    <n v="3"/>
    <n v="899.99"/>
    <s v="PayPal"/>
    <x v="2"/>
    <s v="Basic"/>
    <d v="2023-02-18T00:00:00"/>
    <n v="2699.97"/>
  </r>
  <r>
    <s v="TRX0019"/>
    <x v="152"/>
    <s v="CUST023"/>
    <x v="0"/>
    <s v="P007"/>
    <s v="Desk"/>
    <s v="Furniture"/>
    <n v="3"/>
    <n v="299.99"/>
    <s v="Credit Card"/>
    <x v="3"/>
    <s v="Premium"/>
    <d v="2023-11-04T00:00:00"/>
    <n v="899.97"/>
  </r>
  <r>
    <s v="TRX0050"/>
    <x v="153"/>
    <s v="CUST001"/>
    <x v="49"/>
    <s v="P008"/>
    <s v="Bookshelf"/>
    <s v="Furniture"/>
    <n v="4"/>
    <n v="149.99"/>
    <s v="PayPal"/>
    <x v="3"/>
    <s v="Standard"/>
    <d v="2021-12-30T00:00:00"/>
    <n v="599.96"/>
  </r>
  <r>
    <s v="TRX0152"/>
    <x v="154"/>
    <s v="CUST044"/>
    <x v="19"/>
    <s v="P004"/>
    <s v="Coffee Maker"/>
    <s v="Appliances"/>
    <n v="4"/>
    <n v="79.989999999999995"/>
    <s v="Credit Card"/>
    <x v="0"/>
    <s v="Basic"/>
    <d v="2023-12-28T00:00:00"/>
    <n v="319.95999999999998"/>
  </r>
  <r>
    <s v="TRX0213"/>
    <x v="155"/>
    <s v="CUST020"/>
    <x v="36"/>
    <s v="P010"/>
    <s v="Keyboard"/>
    <s v="Electronics"/>
    <n v="5"/>
    <n v="89.99"/>
    <s v="PayPal"/>
    <x v="1"/>
    <s v="Basic"/>
    <d v="2022-05-23T00:00:00"/>
    <n v="449.95"/>
  </r>
  <r>
    <s v="TRX0197"/>
    <x v="156"/>
    <s v="CUST048"/>
    <x v="16"/>
    <s v="P008"/>
    <s v="Bookshelf"/>
    <s v="Furniture"/>
    <n v="3"/>
    <n v="149.99"/>
    <s v="PayPal"/>
    <x v="0"/>
    <s v="Standard"/>
    <d v="2023-09-02T00:00:00"/>
    <n v="449.97"/>
  </r>
  <r>
    <s v="TRX0250"/>
    <x v="156"/>
    <s v="CUST026"/>
    <x v="8"/>
    <s v="P010"/>
    <s v="Keyboard"/>
    <s v="Electronics"/>
    <n v="2"/>
    <n v="89.99"/>
    <s v="Debit Card"/>
    <x v="3"/>
    <s v="Premium"/>
    <d v="2021-11-22T00:00:00"/>
    <n v="179.98"/>
  </r>
  <r>
    <s v="TRX0068"/>
    <x v="157"/>
    <s v="CUST044"/>
    <x v="19"/>
    <s v="P002"/>
    <s v="Smartphone"/>
    <s v="Electronics"/>
    <n v="2"/>
    <n v="699.99"/>
    <s v="PayPal"/>
    <x v="2"/>
    <s v="Standard"/>
    <d v="2022-02-26T00:00:00"/>
    <n v="1399.98"/>
  </r>
  <r>
    <s v="TRX0144"/>
    <x v="158"/>
    <s v="CUST029"/>
    <x v="23"/>
    <s v="P001"/>
    <s v="Laptop"/>
    <s v="Electronics"/>
    <n v="3"/>
    <n v="899.99"/>
    <s v="Cash"/>
    <x v="0"/>
    <s v="Standard"/>
    <d v="2023-01-27T00:00:00"/>
    <n v="2699.97"/>
  </r>
  <r>
    <s v="TRX0039"/>
    <x v="159"/>
    <s v="CUST048"/>
    <x v="16"/>
    <s v="P004"/>
    <s v="Coffee Maker"/>
    <s v="Appliances"/>
    <n v="3"/>
    <n v="79.989999999999995"/>
    <s v="Credit Card"/>
    <x v="2"/>
    <s v="Basic"/>
    <d v="2021-11-11T00:00:00"/>
    <n v="239.97"/>
  </r>
  <r>
    <s v="TRX0116"/>
    <x v="160"/>
    <s v="CUST009"/>
    <x v="7"/>
    <s v="P010"/>
    <s v="Keyboard"/>
    <s v="Electronics"/>
    <n v="1"/>
    <n v="89.99"/>
    <s v="Debit Card"/>
    <x v="4"/>
    <s v="Basic"/>
    <d v="2024-02-24T00:00:00"/>
    <n v="89.99"/>
  </r>
  <r>
    <s v="TRX0120"/>
    <x v="161"/>
    <s v="CUST045"/>
    <x v="46"/>
    <s v="P002"/>
    <s v="Smartphone"/>
    <s v="Electronics"/>
    <n v="3"/>
    <n v="699.99"/>
    <s v="PayPal"/>
    <x v="2"/>
    <s v="Basic"/>
    <d v="2022-12-14T00:00:00"/>
    <n v="2099.9699999999998"/>
  </r>
  <r>
    <s v="TRX0103"/>
    <x v="161"/>
    <s v="CUST039"/>
    <x v="40"/>
    <s v="P010"/>
    <s v="Keyboard"/>
    <s v="Electronics"/>
    <n v="2"/>
    <n v="89.99"/>
    <s v="Debit Card"/>
    <x v="4"/>
    <s v="Basic"/>
    <d v="2023-06-11T00:00:00"/>
    <n v="179.98"/>
  </r>
  <r>
    <s v="TRX0064"/>
    <x v="161"/>
    <s v="CUST031"/>
    <x v="26"/>
    <s v="P010"/>
    <s v="Keyboard"/>
    <s v="Electronics"/>
    <n v="3"/>
    <n v="89.99"/>
    <s v="Debit Card"/>
    <x v="2"/>
    <s v="Premium"/>
    <d v="2022-11-13T00:00:00"/>
    <n v="269.9700000000000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s v="Paul Baker"/>
    <s v="P009"/>
    <s v="Monitor"/>
    <x v="0"/>
    <n v="3"/>
    <n v="249.99"/>
    <s v="Cash"/>
    <s v="Central"/>
    <s v="Basic"/>
    <d v="2021-08-17T00:00:00"/>
    <n v="749.97"/>
  </r>
  <r>
    <s v="Joseph Jackson"/>
    <s v="P009"/>
    <s v="Monitor"/>
    <x v="0"/>
    <n v="3"/>
    <n v="249.99"/>
    <s v="Credit Card"/>
    <s v="Central"/>
    <s v="Premium"/>
    <d v="2022-01-14T00:00:00"/>
    <n v="749.97"/>
  </r>
  <r>
    <s v="Kevin Scott"/>
    <s v="P005"/>
    <s v="Blender"/>
    <x v="1"/>
    <n v="3"/>
    <n v="59.99"/>
    <s v="PayPal"/>
    <s v="South"/>
    <s v="Standard"/>
    <d v="2023-12-02T00:00:00"/>
    <n v="179.97"/>
  </r>
  <r>
    <s v="Kathleen Bennett"/>
    <s v="P005"/>
    <s v="Blender"/>
    <x v="1"/>
    <n v="3"/>
    <n v="59.99"/>
    <s v="Cash"/>
    <s v="North"/>
    <s v="Premium"/>
    <d v="2023-07-07T00:00:00"/>
    <n v="179.97"/>
  </r>
  <r>
    <s v="Michael Brown"/>
    <s v="P008"/>
    <s v="Bookshelf"/>
    <x v="2"/>
    <n v="5"/>
    <n v="149.99"/>
    <s v="Credit Card"/>
    <s v="North"/>
    <s v="Premium"/>
    <d v="2024-01-04T00:00:00"/>
    <n v="749.95"/>
  </r>
  <r>
    <s v="Dorothy Nelson"/>
    <s v="P005"/>
    <s v="Blender"/>
    <x v="1"/>
    <n v="2"/>
    <n v="59.99"/>
    <s v="Cash"/>
    <s v="West"/>
    <s v="Standard"/>
    <d v="2022-07-04T00:00:00"/>
    <n v="119.98"/>
  </r>
  <r>
    <s v="Dorothy Nelson"/>
    <s v="P003"/>
    <s v="Headphones"/>
    <x v="0"/>
    <n v="5"/>
    <n v="149.99"/>
    <s v="Credit Card"/>
    <s v="Central"/>
    <s v="Standard"/>
    <d v="2021-08-10T00:00:00"/>
    <n v="749.95"/>
  </r>
  <r>
    <s v="Charles Allen"/>
    <s v="P005"/>
    <s v="Blender"/>
    <x v="1"/>
    <n v="3"/>
    <n v="59.99"/>
    <s v="Debit Card"/>
    <s v="South"/>
    <s v="Basic"/>
    <d v="2023-03-22T00:00:00"/>
    <n v="179.97"/>
  </r>
  <r>
    <s v="Robert Thomas"/>
    <s v="P001"/>
    <s v="Laptop"/>
    <x v="0"/>
    <n v="3"/>
    <n v="899.99"/>
    <s v="PayPal"/>
    <s v="East"/>
    <s v="Standard"/>
    <d v="2024-01-08T00:00:00"/>
    <n v="2699.97"/>
  </r>
  <r>
    <s v="Karen Hill"/>
    <s v="P005"/>
    <s v="Blender"/>
    <x v="1"/>
    <n v="3"/>
    <n v="59.99"/>
    <s v="Cash"/>
    <s v="West"/>
    <s v="Premium"/>
    <d v="2023-10-08T00:00:00"/>
    <n v="179.97"/>
  </r>
  <r>
    <s v="Susan Green"/>
    <s v="P008"/>
    <s v="Bookshelf"/>
    <x v="2"/>
    <n v="1"/>
    <n v="149.99"/>
    <s v="Credit Card"/>
    <s v="West"/>
    <s v="Standard"/>
    <d v="2023-06-26T00:00:00"/>
    <n v="149.99"/>
  </r>
  <r>
    <s v="Kathleen Bennett"/>
    <s v="P008"/>
    <s v="Bookshelf"/>
    <x v="2"/>
    <n v="5"/>
    <n v="149.99"/>
    <s v="Debit Card"/>
    <s v="North"/>
    <s v="Basic"/>
    <d v="2022-09-26T00:00:00"/>
    <n v="749.95"/>
  </r>
  <r>
    <s v="Peter Richardson"/>
    <s v="P008"/>
    <s v="Bookshelf"/>
    <x v="2"/>
    <n v="3"/>
    <n v="149.99"/>
    <s v="Cash"/>
    <s v="North"/>
    <s v="Premium"/>
    <d v="2022-09-02T00:00:00"/>
    <n v="449.97"/>
  </r>
  <r>
    <s v="Dennis Gray"/>
    <s v="P005"/>
    <s v="Blender"/>
    <x v="1"/>
    <n v="3"/>
    <n v="59.99"/>
    <s v="Credit Card"/>
    <s v="North"/>
    <s v="Standard"/>
    <d v="2024-02-29T00:00:00"/>
    <n v="179.97"/>
  </r>
  <r>
    <s v="Michelle Rogers"/>
    <s v="P002"/>
    <s v="P002"/>
    <x v="0"/>
    <n v="3"/>
    <n v="699.99"/>
    <s v="Credit Card"/>
    <s v="West"/>
    <s v="Basic"/>
    <d v="2022-01-16T00:00:00"/>
    <n v="2099.9699999999998"/>
  </r>
  <r>
    <s v="George Adams"/>
    <s v="P001"/>
    <s v="Laptop"/>
    <x v="0"/>
    <n v="1"/>
    <n v="899.99"/>
    <s v="Debit Card"/>
    <s v="North"/>
    <s v="Standard"/>
    <d v="2022-12-25T00:00:00"/>
    <n v="899.99"/>
  </r>
  <r>
    <s v="Mark Carter"/>
    <s v="P008"/>
    <s v="Bookshelf"/>
    <x v="2"/>
    <n v="4"/>
    <n v="149.99"/>
    <s v="Debit Card"/>
    <s v="North"/>
    <s v="Premium"/>
    <d v="2024-03-23T00:00:00"/>
    <n v="599.96"/>
  </r>
  <r>
    <s v="Maria Garcia"/>
    <s v="P002"/>
    <s v="Smartphone"/>
    <x v="0"/>
    <n v="2"/>
    <n v="699.99"/>
    <s v="Cash"/>
    <s v="North"/>
    <s v="Basic"/>
    <d v="2022-08-08T00:00:00"/>
    <n v="1399.98"/>
  </r>
  <r>
    <s v="Mark Carter"/>
    <s v="P001"/>
    <s v="Laptop"/>
    <x v="0"/>
    <n v="4"/>
    <n v="899.99"/>
    <s v="Credit Card"/>
    <s v="West"/>
    <s v="Standard"/>
    <d v="2024-02-05T00:00:00"/>
    <n v="3599.96"/>
  </r>
  <r>
    <s v="Virginia Sanders"/>
    <s v="P009"/>
    <s v="Monitor"/>
    <x v="0"/>
    <n v="3"/>
    <n v="249.99"/>
    <s v="Credit Card"/>
    <s v="North"/>
    <s v="Premium"/>
    <d v="2023-10-25T00:00:00"/>
    <n v="749.97"/>
  </r>
  <r>
    <s v="Barbara Young"/>
    <s v="P002"/>
    <s v="Smartphone"/>
    <x v="0"/>
    <n v="5"/>
    <n v="699.99"/>
    <s v="Cash"/>
    <s v="West"/>
    <s v="Basic"/>
    <d v="2023-08-29T00:00:00"/>
    <n v="3499.95"/>
  </r>
  <r>
    <s v="Patricia Moore"/>
    <s v="P002"/>
    <s v="Smartphone"/>
    <x v="0"/>
    <n v="4"/>
    <n v="699.99"/>
    <s v="Cash"/>
    <s v="East"/>
    <s v="Standard"/>
    <d v="2021-08-01T00:00:00"/>
    <n v="2799.96"/>
  </r>
  <r>
    <s v="Cynthia Price"/>
    <s v="P009"/>
    <s v="Monitor"/>
    <x v="0"/>
    <n v="4"/>
    <n v="249.99"/>
    <s v="PayPal"/>
    <s v="North"/>
    <s v="Standard"/>
    <d v="2021-09-29T00:00:00"/>
    <n v="999.96"/>
  </r>
  <r>
    <s v="Mark Carter"/>
    <s v="P007"/>
    <s v="Desk"/>
    <x v="2"/>
    <n v="4"/>
    <n v="299.99"/>
    <s v="Cash"/>
    <s v="West"/>
    <s v="Premium"/>
    <d v="2022-06-04T00:00:00"/>
    <n v="1199.96"/>
  </r>
  <r>
    <s v="Nancy Collins"/>
    <s v="P009"/>
    <s v="Monitor"/>
    <x v="0"/>
    <n v="5"/>
    <n v="249.99"/>
    <s v="Credit Card"/>
    <s v="West"/>
    <s v="Standard"/>
    <d v="2021-11-25T00:00:00"/>
    <n v="1249.95"/>
  </r>
  <r>
    <s v="Susan Green"/>
    <s v="P007"/>
    <s v="Desk"/>
    <x v="2"/>
    <n v="5"/>
    <n v="299.99"/>
    <s v="PayPal"/>
    <s v="East"/>
    <s v="Basic"/>
    <d v="2023-08-30T00:00:00"/>
    <n v="1499.95"/>
  </r>
  <r>
    <s v="Linda Martin"/>
    <s v="P004"/>
    <s v="Coffee Maker"/>
    <x v="1"/>
    <n v="3"/>
    <n v="79.989999999999995"/>
    <s v="PayPal"/>
    <s v="East"/>
    <s v="Premium"/>
    <d v="2023-03-27T00:00:00"/>
    <n v="239.97"/>
  </r>
  <r>
    <s v="Patricia Moore"/>
    <s v="P010"/>
    <s v="Keyboard"/>
    <x v="0"/>
    <n v="5"/>
    <n v="89.99"/>
    <s v="Cash"/>
    <s v="North"/>
    <s v="Premium"/>
    <d v="2022-12-24T00:00:00"/>
    <n v="449.95"/>
  </r>
  <r>
    <s v="Helen Roberts"/>
    <s v="P005"/>
    <s v="Blender"/>
    <x v="1"/>
    <n v="2"/>
    <n v="59.99"/>
    <s v="Debit Card"/>
    <s v="Central"/>
    <s v="Standard"/>
    <d v="2023-10-15T00:00:00"/>
    <n v="119.98"/>
  </r>
  <r>
    <s v="Edward Mitchell"/>
    <s v="P005"/>
    <s v="Blender"/>
    <x v="1"/>
    <n v="4"/>
    <n v="59.99"/>
    <s v="Debit Card"/>
    <s v="East"/>
    <s v="Standard"/>
    <d v="2022-11-02T00:00:00"/>
    <n v="239.96"/>
  </r>
  <r>
    <s v="Charles Allen"/>
    <s v="P006"/>
    <s v="Office Chair"/>
    <x v="2"/>
    <n v="5"/>
    <n v="199.99"/>
    <s v="Cash"/>
    <s v="South"/>
    <s v="Standard"/>
    <d v="2021-08-04T00:00:00"/>
    <n v="999.95"/>
  </r>
  <r>
    <s v="Lisa Anderson"/>
    <s v="P008"/>
    <s v="Bookshelf"/>
    <x v="2"/>
    <n v="2"/>
    <n v="149.99"/>
    <s v="Credit Card"/>
    <s v="West"/>
    <s v="Basic"/>
    <d v="2022-09-19T00:00:00"/>
    <n v="299.98"/>
  </r>
  <r>
    <s v="Emma Wilson"/>
    <s v="P008"/>
    <s v="Bookshelf"/>
    <x v="2"/>
    <n v="3"/>
    <n v="149.99"/>
    <s v="Credit Card"/>
    <s v="West"/>
    <s v="Premium"/>
    <d v="2023-05-22T00:00:00"/>
    <n v="449.97"/>
  </r>
  <r>
    <s v="Kevin Scott"/>
    <s v="P001"/>
    <s v="Laptop"/>
    <x v="0"/>
    <n v="1"/>
    <n v="899.99"/>
    <s v="Credit Card"/>
    <s v="West"/>
    <s v="Premium"/>
    <d v="2022-01-17T00:00:00"/>
    <n v="899.99"/>
  </r>
  <r>
    <s v="Patricia Moore"/>
    <s v="P007"/>
    <s v="Desk"/>
    <x v="2"/>
    <n v="3"/>
    <n v="299.99"/>
    <s v="Credit Card"/>
    <s v="East"/>
    <s v="Basic"/>
    <d v="2022-09-20T00:00:00"/>
    <n v="899.97"/>
  </r>
  <r>
    <s v="Lisa Anderson"/>
    <s v="P004"/>
    <s v="Coffee Maker"/>
    <x v="1"/>
    <n v="3"/>
    <n v="79.989999999999995"/>
    <s v="Cash"/>
    <s v="South"/>
    <s v="Basic"/>
    <d v="2023-04-30T00:00:00"/>
    <n v="239.97"/>
  </r>
  <r>
    <s v="Steven Turner"/>
    <s v="P006"/>
    <s v="Office Chair"/>
    <x v="2"/>
    <n v="3"/>
    <n v="199.99"/>
    <s v="Credit Card"/>
    <s v="North"/>
    <s v="Premium"/>
    <d v="2024-01-01T00:00:00"/>
    <n v="599.97"/>
  </r>
  <r>
    <s v="Jennifer Taylor"/>
    <s v="P002"/>
    <s v="Smartphone"/>
    <x v="0"/>
    <n v="5"/>
    <n v="699.99"/>
    <s v="PayPal"/>
    <s v="West"/>
    <s v="Standard"/>
    <d v="2021-07-30T00:00:00"/>
    <n v="3499.95"/>
  </r>
  <r>
    <s v="Harry Morgan"/>
    <s v="P010"/>
    <s v="Keyboard"/>
    <x v="0"/>
    <n v="3"/>
    <n v="89.99"/>
    <s v="PayPal"/>
    <s v="Central"/>
    <s v="Premium"/>
    <d v="2023-07-13T00:00:00"/>
    <n v="269.97000000000003"/>
  </r>
  <r>
    <s v="Daniel King"/>
    <s v="P004"/>
    <s v="Coffee Maker"/>
    <x v="1"/>
    <n v="1"/>
    <n v="79.989999999999995"/>
    <s v="Cash"/>
    <s v="North"/>
    <s v="Standard"/>
    <d v="2022-12-22T00:00:00"/>
    <n v="79.989999999999995"/>
  </r>
  <r>
    <s v="Sharon Butler"/>
    <s v="P005"/>
    <s v="Blender"/>
    <x v="1"/>
    <n v="2"/>
    <n v="59.99"/>
    <s v="Cash"/>
    <s v="West"/>
    <s v="Basic"/>
    <d v="2024-04-08T00:00:00"/>
    <n v="119.98"/>
  </r>
  <r>
    <s v="Charles Allen"/>
    <s v="P010"/>
    <s v="Keyboard"/>
    <x v="0"/>
    <n v="1"/>
    <n v="89.99"/>
    <s v="Cash"/>
    <s v="North"/>
    <s v="Basic"/>
    <d v="2023-08-03T00:00:00"/>
    <n v="89.99"/>
  </r>
  <r>
    <s v="Sarah Davis"/>
    <s v="P010"/>
    <s v="Keyboard"/>
    <x v="0"/>
    <n v="5"/>
    <n v="89.99"/>
    <s v="Credit Card"/>
    <s v="East"/>
    <s v="Standard"/>
    <d v="2022-01-26T00:00:00"/>
    <n v="449.95"/>
  </r>
  <r>
    <s v="Joseph Jackson"/>
    <s v="P009"/>
    <s v="Monitor"/>
    <x v="0"/>
    <n v="5"/>
    <n v="249.99"/>
    <s v="Credit Card"/>
    <s v="East"/>
    <s v="Standard"/>
    <d v="2022-05-26T00:00:00"/>
    <n v="1249.95"/>
  </r>
  <r>
    <s v="Betty Campbell"/>
    <s v="P010"/>
    <s v="Keyboard"/>
    <x v="0"/>
    <n v="1"/>
    <n v="89.99"/>
    <s v="Credit Card"/>
    <s v="South"/>
    <s v="Standard"/>
    <d v="2022-01-21T00:00:00"/>
    <n v="89.99"/>
  </r>
  <r>
    <s v="Michael Brown"/>
    <s v="P008"/>
    <s v="Bookshelf"/>
    <x v="2"/>
    <n v="2"/>
    <n v="149.99"/>
    <s v="Cash"/>
    <s v="East"/>
    <s v="Premium"/>
    <d v="2022-03-25T00:00:00"/>
    <n v="299.98"/>
  </r>
  <r>
    <s v="Julie Foster"/>
    <s v="P005"/>
    <s v="Blender"/>
    <x v="1"/>
    <n v="4"/>
    <n v="59.99"/>
    <s v="Cash"/>
    <s v="East"/>
    <s v="Standard"/>
    <d v="2021-08-27T00:00:00"/>
    <n v="239.96"/>
  </r>
  <r>
    <s v="Lisa Anderson"/>
    <s v="P010"/>
    <s v="Keyboard"/>
    <x v="0"/>
    <n v="5"/>
    <n v="89.99"/>
    <s v="Cash"/>
    <s v="Central"/>
    <s v="Premium"/>
    <d v="2022-01-18T00:00:00"/>
    <n v="449.95"/>
  </r>
  <r>
    <s v="Patricia Moore"/>
    <s v="P010"/>
    <s v="Keyboard"/>
    <x v="0"/>
    <n v="2"/>
    <n v="89.99"/>
    <s v="Credit Card"/>
    <s v="South"/>
    <s v="Premium"/>
    <d v="2021-10-02T00:00:00"/>
    <n v="179.98"/>
  </r>
  <r>
    <s v="Paul Baker"/>
    <s v="P001"/>
    <s v="Laptop"/>
    <x v="0"/>
    <n v="5"/>
    <n v="899.99"/>
    <s v="Credit Card"/>
    <s v="South"/>
    <s v="Standard"/>
    <d v="2023-02-17T00:00:00"/>
    <n v="4499.95"/>
  </r>
  <r>
    <s v="Edward Mitchell"/>
    <s v="P001"/>
    <s v="Laptop"/>
    <x v="0"/>
    <n v="5"/>
    <n v="899.99"/>
    <s v="PayPal"/>
    <s v="East"/>
    <s v="Premium"/>
    <d v="2023-12-18T00:00:00"/>
    <n v="4499.95"/>
  </r>
  <r>
    <s v="Betty Campbell"/>
    <s v="P005"/>
    <s v="Blender"/>
    <x v="1"/>
    <n v="1"/>
    <n v="59.99"/>
    <s v="Debit Card"/>
    <s v="West"/>
    <s v="Premium"/>
    <d v="2023-09-21T00:00:00"/>
    <n v="59.99"/>
  </r>
  <r>
    <s v="Jennifer Taylor"/>
    <s v="P007"/>
    <s v="Desk"/>
    <x v="2"/>
    <n v="2"/>
    <n v="299.99"/>
    <s v="Debit Card"/>
    <s v="East"/>
    <s v="Standard"/>
    <d v="2023-11-23T00:00:00"/>
    <n v="599.98"/>
  </r>
  <r>
    <s v="Raymond Ross"/>
    <s v="P010"/>
    <s v="Keyboard"/>
    <x v="0"/>
    <n v="4"/>
    <n v="89.99"/>
    <s v="Debit Card"/>
    <s v="South"/>
    <s v="Basic"/>
    <d v="2023-12-21T00:00:00"/>
    <n v="359.96"/>
  </r>
  <r>
    <s v="Kevin Scott"/>
    <s v="P004"/>
    <s v="Coffee Maker"/>
    <x v="1"/>
    <n v="1"/>
    <n v="79.989999999999995"/>
    <s v="PayPal"/>
    <s v="Central"/>
    <s v="Premium"/>
    <d v="2024-03-01T00:00:00"/>
    <n v="79.989999999999995"/>
  </r>
  <r>
    <s v="Robert Thomas"/>
    <s v="P010"/>
    <s v="Keyboard"/>
    <x v="0"/>
    <n v="2"/>
    <n v="89.99"/>
    <s v="Cash"/>
    <s v="West"/>
    <s v="Basic"/>
    <d v="2021-08-30T00:00:00"/>
    <n v="179.98"/>
  </r>
  <r>
    <s v="Kathleen Bennett"/>
    <s v="P002"/>
    <s v="Smartphone"/>
    <x v="0"/>
    <n v="3"/>
    <n v="699.99"/>
    <s v="Credit Card"/>
    <s v="East"/>
    <s v="Premium"/>
    <d v="2023-06-25T00:00:00"/>
    <n v="2099.9699999999998"/>
  </r>
  <r>
    <s v="Patricia Moore"/>
    <s v="P001"/>
    <s v="Laptop"/>
    <x v="0"/>
    <n v="4"/>
    <n v="899.99"/>
    <s v="Credit Card"/>
    <s v="East"/>
    <s v="Premium"/>
    <d v="2023-03-08T00:00:00"/>
    <n v="3599.96"/>
  </r>
  <r>
    <s v="Helen Roberts"/>
    <s v="P008"/>
    <s v="Bookshelf"/>
    <x v="2"/>
    <n v="1"/>
    <n v="149.99"/>
    <s v="PayPal"/>
    <s v="East"/>
    <s v="Basic"/>
    <d v="2022-10-17T00:00:00"/>
    <n v="149.99"/>
  </r>
  <r>
    <s v="Emma Wilson"/>
    <s v="P010"/>
    <s v="Keyboard"/>
    <x v="0"/>
    <n v="2"/>
    <n v="89.99"/>
    <s v="PayPal"/>
    <s v="Central"/>
    <s v="Premium"/>
    <d v="2023-12-15T00:00:00"/>
    <n v="179.98"/>
  </r>
  <r>
    <s v="Charles Allen"/>
    <s v="P010"/>
    <s v="Keyboard"/>
    <x v="0"/>
    <n v="1"/>
    <n v="89.99"/>
    <s v="PayPal"/>
    <s v="West"/>
    <s v="Standard"/>
    <d v="2022-08-29T00:00:00"/>
    <n v="89.99"/>
  </r>
  <r>
    <s v="Susan Green"/>
    <s v="P010"/>
    <s v="Keyboard"/>
    <x v="0"/>
    <n v="1"/>
    <n v="89.99"/>
    <s v="Cash"/>
    <s v="South"/>
    <s v="Standard"/>
    <d v="2022-02-19T00:00:00"/>
    <n v="89.99"/>
  </r>
  <r>
    <s v="David Martinez"/>
    <s v="P004"/>
    <s v="Coffee Maker"/>
    <x v="1"/>
    <n v="5"/>
    <n v="79.989999999999995"/>
    <s v="Debit Card"/>
    <s v="Central"/>
    <s v="Basic"/>
    <d v="2023-02-24T00:00:00"/>
    <n v="399.95"/>
  </r>
  <r>
    <s v="Margaret Wright"/>
    <s v="P008"/>
    <s v="Bookshelf"/>
    <x v="2"/>
    <n v="1"/>
    <n v="149.99"/>
    <s v="PayPal"/>
    <s v="North"/>
    <s v="Basic"/>
    <d v="2021-08-13T00:00:00"/>
    <n v="149.99"/>
  </r>
  <r>
    <s v="Michael Brown"/>
    <s v="P002"/>
    <s v="Smartphone"/>
    <x v="0"/>
    <n v="2"/>
    <n v="699.99"/>
    <s v="PayPal"/>
    <s v="East"/>
    <s v="Premium"/>
    <d v="2024-04-07T00:00:00"/>
    <n v="1399.98"/>
  </r>
  <r>
    <s v="Barbara Young"/>
    <s v="P010"/>
    <s v="Keyboard"/>
    <x v="0"/>
    <n v="5"/>
    <n v="89.99"/>
    <s v="Debit Card"/>
    <s v="North"/>
    <s v="Premium"/>
    <d v="2023-08-23T00:00:00"/>
    <n v="449.95"/>
  </r>
  <r>
    <s v="Raymond Ross"/>
    <s v="P005"/>
    <s v="Blender"/>
    <x v="1"/>
    <n v="4"/>
    <n v="59.99"/>
    <s v="Cash"/>
    <s v="South"/>
    <s v="Standard"/>
    <d v="2021-11-09T00:00:00"/>
    <n v="239.96"/>
  </r>
  <r>
    <s v="Joseph Jackson"/>
    <s v="P003"/>
    <s v="Headphones"/>
    <x v="0"/>
    <n v="1"/>
    <n v="149.99"/>
    <s v="Cash"/>
    <s v="Central"/>
    <s v="Standard"/>
    <d v="2022-12-14T00:00:00"/>
    <n v="149.99"/>
  </r>
  <r>
    <s v="Frank Torres"/>
    <s v="P007"/>
    <s v="Desk"/>
    <x v="2"/>
    <n v="1"/>
    <n v="299.99"/>
    <s v="Credit Card"/>
    <s v="North"/>
    <s v="Premium"/>
    <d v="2022-11-26T00:00:00"/>
    <n v="299.99"/>
  </r>
  <r>
    <s v="Frank Torres"/>
    <s v="P006"/>
    <s v="Office Chair"/>
    <x v="2"/>
    <n v="2"/>
    <n v="199.99"/>
    <s v="Cash"/>
    <s v="North"/>
    <s v="Basic"/>
    <d v="2021-12-11T00:00:00"/>
    <n v="399.98"/>
  </r>
  <r>
    <s v="Gerald Murphy"/>
    <s v="P005"/>
    <s v="Blender"/>
    <x v="1"/>
    <n v="3"/>
    <n v="59.99"/>
    <s v="Credit Card"/>
    <s v="West"/>
    <s v="Basic"/>
    <d v="2023-07-23T00:00:00"/>
    <n v="179.97"/>
  </r>
  <r>
    <s v="Peter Richardson"/>
    <s v="P008"/>
    <s v="Bookshelf"/>
    <x v="2"/>
    <n v="3"/>
    <n v="149.99"/>
    <s v="Cash"/>
    <s v="Central"/>
    <s v="Premium"/>
    <d v="2023-09-30T00:00:00"/>
    <n v="449.97"/>
  </r>
  <r>
    <s v="Karen Hill"/>
    <s v="P006"/>
    <s v="Office Chair"/>
    <x v="2"/>
    <n v="3"/>
    <n v="199.99"/>
    <s v="Cash"/>
    <s v="North"/>
    <s v="Premium"/>
    <d v="2023-11-24T00:00:00"/>
    <n v="599.97"/>
  </r>
  <r>
    <s v="Sharon Butler"/>
    <s v="P001"/>
    <s v="Laptop"/>
    <x v="0"/>
    <n v="1"/>
    <n v="899.99"/>
    <s v="Cash"/>
    <s v="Central"/>
    <s v="Standard"/>
    <d v="2023-09-10T00:00:00"/>
    <n v="899.99"/>
  </r>
  <r>
    <s v="Joseph Jackson"/>
    <s v="P001"/>
    <s v="Laptop"/>
    <x v="0"/>
    <n v="5"/>
    <n v="899.99"/>
    <s v="Debit Card"/>
    <s v="South"/>
    <s v="Standard"/>
    <d v="2022-12-04T00:00:00"/>
    <n v="4499.95"/>
  </r>
  <r>
    <s v="David Martinez"/>
    <s v="P005"/>
    <s v="Blender"/>
    <x v="1"/>
    <n v="2"/>
    <n v="59.99"/>
    <s v="Cash"/>
    <s v="North"/>
    <s v="Standard"/>
    <d v="2023-08-14T00:00:00"/>
    <n v="119.98"/>
  </r>
  <r>
    <s v="Gerald Murphy"/>
    <s v="P009"/>
    <s v="Monitor"/>
    <x v="0"/>
    <n v="4"/>
    <n v="249.99"/>
    <s v="Debit Card"/>
    <s v="Central"/>
    <s v="Standard"/>
    <d v="2023-07-20T00:00:00"/>
    <n v="999.96"/>
  </r>
  <r>
    <s v="Barbara Young"/>
    <s v="P009"/>
    <s v="Monitor"/>
    <x v="0"/>
    <n v="2"/>
    <n v="249.99"/>
    <s v="Cash"/>
    <s v="North"/>
    <s v="Premium"/>
    <d v="2023-08-26T00:00:00"/>
    <n v="499.98"/>
  </r>
  <r>
    <s v="Daniel King"/>
    <s v="P007"/>
    <s v="Desk"/>
    <x v="2"/>
    <n v="1"/>
    <n v="299.99"/>
    <s v="Cash"/>
    <s v="South"/>
    <s v="Basic"/>
    <d v="2023-02-25T00:00:00"/>
    <n v="299.99"/>
  </r>
  <r>
    <s v="Mark Carter"/>
    <s v="P010"/>
    <s v="Keyboard"/>
    <x v="0"/>
    <n v="2"/>
    <n v="89.99"/>
    <s v="PayPal"/>
    <s v="South"/>
    <s v="Basic"/>
    <d v="2023-02-19T00:00:00"/>
    <n v="179.98"/>
  </r>
  <r>
    <s v="Daniel King"/>
    <s v="P007"/>
    <s v="Desk"/>
    <x v="2"/>
    <n v="3"/>
    <n v="299.99"/>
    <s v="Cash"/>
    <s v="Central"/>
    <s v="Basic"/>
    <d v="2022-06-20T00:00:00"/>
    <n v="899.97"/>
  </r>
  <r>
    <s v="Mark Carter"/>
    <s v="P002"/>
    <s v="Smartphone"/>
    <x v="0"/>
    <n v="2"/>
    <n v="699.99"/>
    <s v="Credit Card"/>
    <s v="North"/>
    <s v="Premium"/>
    <d v="2023-03-14T00:00:00"/>
    <n v="1399.98"/>
  </r>
  <r>
    <s v="Helen Roberts"/>
    <s v="P001"/>
    <s v="Laptop"/>
    <x v="0"/>
    <n v="4"/>
    <n v="899.99"/>
    <s v="Debit Card"/>
    <s v="South"/>
    <s v="Standard"/>
    <d v="2021-11-23T00:00:00"/>
    <n v="3599.96"/>
  </r>
  <r>
    <s v="Elizabeth Hall"/>
    <s v="P008"/>
    <s v="Bookshelf"/>
    <x v="2"/>
    <n v="2"/>
    <n v="149.99"/>
    <s v="Credit Card"/>
    <s v="West"/>
    <s v="Basic"/>
    <d v="2021-12-12T00:00:00"/>
    <n v="299.98"/>
  </r>
  <r>
    <s v="Cynthia Price"/>
    <s v="P008"/>
    <s v="Bookshelf"/>
    <x v="2"/>
    <n v="2"/>
    <n v="149.99"/>
    <s v="Debit Card"/>
    <s v="East"/>
    <s v="Standard"/>
    <d v="2022-04-16T00:00:00"/>
    <n v="299.98"/>
  </r>
  <r>
    <s v="Maria Garcia"/>
    <s v="P010"/>
    <s v="Keyboard"/>
    <x v="0"/>
    <n v="1"/>
    <n v="89.99"/>
    <s v="Credit Card"/>
    <s v="North"/>
    <s v="Standard"/>
    <d v="2024-04-11T00:00:00"/>
    <n v="89.99"/>
  </r>
  <r>
    <s v="Mark Carter"/>
    <s v="P007"/>
    <s v="Desk"/>
    <x v="2"/>
    <n v="5"/>
    <n v="299.99"/>
    <s v="Credit Card"/>
    <s v="North"/>
    <s v="Basic"/>
    <d v="2023-02-08T00:00:00"/>
    <n v="1499.95"/>
  </r>
  <r>
    <s v="David Martinez"/>
    <s v="P003"/>
    <s v="Headphones"/>
    <x v="0"/>
    <n v="4"/>
    <n v="149.99"/>
    <s v="Debit Card"/>
    <s v="South"/>
    <s v="Premium"/>
    <d v="2022-09-16T00:00:00"/>
    <n v="599.96"/>
  </r>
  <r>
    <s v="Margaret Wright"/>
    <s v="P009"/>
    <s v="Monitor"/>
    <x v="0"/>
    <n v="5"/>
    <n v="249.99"/>
    <s v="PayPal"/>
    <s v="East"/>
    <s v="Premium"/>
    <d v="2022-08-09T00:00:00"/>
    <n v="1249.95"/>
  </r>
  <r>
    <s v="Karen Hill"/>
    <s v="P009"/>
    <s v="Monitor"/>
    <x v="0"/>
    <n v="3"/>
    <n v="249.99"/>
    <s v="PayPal"/>
    <s v="North"/>
    <s v="Premium"/>
    <d v="2021-09-26T00:00:00"/>
    <n v="749.97"/>
  </r>
  <r>
    <s v="Kathleen Bennett"/>
    <s v="P006"/>
    <s v="Office Chair"/>
    <x v="2"/>
    <n v="4"/>
    <n v="199.99"/>
    <s v="Cash"/>
    <s v="North"/>
    <s v="Standard"/>
    <d v="2021-09-19T00:00:00"/>
    <n v="799.96"/>
  </r>
  <r>
    <s v="Betty Campbell"/>
    <s v="P006"/>
    <s v="Office Chair"/>
    <x v="2"/>
    <n v="5"/>
    <n v="199.99"/>
    <s v="Cash"/>
    <s v="North"/>
    <s v="Premium"/>
    <d v="2023-03-06T00:00:00"/>
    <n v="999.95"/>
  </r>
  <r>
    <s v="Mark Carter"/>
    <s v="P010"/>
    <s v="Keyboard"/>
    <x v="0"/>
    <n v="2"/>
    <n v="89.99"/>
    <s v="Cash"/>
    <s v="East"/>
    <s v="Premium"/>
    <d v="2023-02-15T00:00:00"/>
    <n v="179.98"/>
  </r>
  <r>
    <s v="Gerald Murphy"/>
    <s v="P001"/>
    <s v="Laptop"/>
    <x v="0"/>
    <n v="5"/>
    <n v="899.99"/>
    <s v="Debit Card"/>
    <s v="East"/>
    <s v="Basic"/>
    <d v="2021-11-26T00:00:00"/>
    <n v="4499.95"/>
  </r>
  <r>
    <s v="Nancy Collins"/>
    <s v="P003"/>
    <s v="Headphones"/>
    <x v="0"/>
    <n v="3"/>
    <n v="149.99"/>
    <s v="PayPal"/>
    <s v="East"/>
    <s v="Basic"/>
    <d v="2022-01-13T00:00:00"/>
    <n v="449.97"/>
  </r>
  <r>
    <s v="Cynthia Price"/>
    <s v="P008"/>
    <s v="Bookshelf"/>
    <x v="2"/>
    <n v="5"/>
    <n v="149.99"/>
    <s v="Credit Card"/>
    <s v="Central"/>
    <s v="Basic"/>
    <d v="2024-01-19T00:00:00"/>
    <n v="749.95"/>
  </r>
  <r>
    <s v="Lawrence Reed"/>
    <s v="P004"/>
    <s v="Coffee Maker"/>
    <x v="1"/>
    <n v="3"/>
    <n v="79.989999999999995"/>
    <s v="Cash"/>
    <s v="Central"/>
    <s v="Premium"/>
    <d v="2022-08-06T00:00:00"/>
    <n v="239.97"/>
  </r>
  <r>
    <s v="Harry Morgan"/>
    <s v="P009"/>
    <s v="Monitor"/>
    <x v="0"/>
    <n v="2"/>
    <n v="249.99"/>
    <s v="Cash"/>
    <s v="South"/>
    <s v="Standard"/>
    <d v="2022-01-11T00:00:00"/>
    <n v="499.98"/>
  </r>
  <r>
    <s v="Gerald Murphy"/>
    <s v="P002"/>
    <s v="Smartphone"/>
    <x v="0"/>
    <n v="1"/>
    <n v="699.99"/>
    <s v="Cash"/>
    <s v="Central"/>
    <s v="Premium"/>
    <d v="2021-10-28T00:00:00"/>
    <n v="699.99"/>
  </r>
  <r>
    <s v="Carol Evans"/>
    <s v="P003"/>
    <s v="Headphones"/>
    <x v="0"/>
    <n v="3"/>
    <n v="149.99"/>
    <s v="Cash"/>
    <s v="West"/>
    <s v="Premium"/>
    <d v="2023-10-13T00:00:00"/>
    <n v="449.97"/>
  </r>
  <r>
    <s v="Sandra Phillips"/>
    <s v="P002"/>
    <s v="Smartphone"/>
    <x v="0"/>
    <n v="2"/>
    <n v="699.99"/>
    <s v="Credit Card"/>
    <s v="North"/>
    <s v="Premium"/>
    <d v="2021-08-13T00:00:00"/>
    <n v="1399.98"/>
  </r>
  <r>
    <s v="Carol Evans"/>
    <s v="P009"/>
    <s v="Monitor"/>
    <x v="0"/>
    <n v="1"/>
    <n v="249.99"/>
    <s v="Credit Card"/>
    <s v="West"/>
    <s v="Premium"/>
    <d v="2022-05-04T00:00:00"/>
    <n v="249.99"/>
  </r>
  <r>
    <s v="Paul Baker"/>
    <s v="P009"/>
    <s v="Monitor"/>
    <x v="0"/>
    <n v="1"/>
    <n v="249.99"/>
    <s v="Debit Card"/>
    <s v="North"/>
    <s v="Premium"/>
    <d v="2024-02-10T00:00:00"/>
    <n v="249.99"/>
  </r>
  <r>
    <s v="Lawrence Reed"/>
    <s v="P002"/>
    <s v="Smartphone"/>
    <x v="0"/>
    <n v="2"/>
    <n v="699.99"/>
    <s v="Debit Card"/>
    <s v="Central"/>
    <s v="Premium"/>
    <d v="2022-11-05T00:00:00"/>
    <n v="1399.98"/>
  </r>
  <r>
    <s v="Steven Turner"/>
    <s v="P005"/>
    <s v="Blender"/>
    <x v="1"/>
    <n v="3"/>
    <n v="59.99"/>
    <s v="Credit Card"/>
    <s v="Central"/>
    <s v="Premium"/>
    <d v="2022-06-05T00:00:00"/>
    <n v="179.97"/>
  </r>
  <r>
    <s v="Emma Wilson"/>
    <s v="P005"/>
    <s v="Blender"/>
    <x v="1"/>
    <n v="3"/>
    <n v="59.99"/>
    <s v="PayPal"/>
    <s v="East"/>
    <s v="Standard"/>
    <d v="2022-07-06T00:00:00"/>
    <n v="179.97"/>
  </r>
  <r>
    <s v="Jennifer Taylor"/>
    <s v="P004"/>
    <s v="Coffee Maker"/>
    <x v="1"/>
    <n v="4"/>
    <n v="79.989999999999995"/>
    <s v="Cash"/>
    <s v="North"/>
    <s v="Basic"/>
    <d v="2021-11-30T00:00:00"/>
    <n v="319.95999999999998"/>
  </r>
  <r>
    <s v="Charles Allen"/>
    <s v="P004"/>
    <s v="Coffee Maker"/>
    <x v="1"/>
    <n v="1"/>
    <n v="79.989999999999995"/>
    <s v="Cash"/>
    <s v="West"/>
    <s v="Basic"/>
    <d v="2022-05-12T00:00:00"/>
    <n v="79.989999999999995"/>
  </r>
  <r>
    <s v="Dorothy Nelson"/>
    <s v="P007"/>
    <s v="Desk"/>
    <x v="2"/>
    <n v="3"/>
    <n v="299.99"/>
    <s v="Credit Card"/>
    <s v="Central"/>
    <s v="Premium"/>
    <d v="2021-10-25T00:00:00"/>
    <n v="899.97"/>
  </r>
  <r>
    <s v="Kathleen Bennett"/>
    <s v="P010"/>
    <s v="Keyboard"/>
    <x v="0"/>
    <n v="2"/>
    <n v="89.99"/>
    <s v="Credit Card"/>
    <s v="South"/>
    <s v="Premium"/>
    <d v="2022-03-21T00:00:00"/>
    <n v="179.98"/>
  </r>
  <r>
    <s v="Ruth Brooks"/>
    <s v="P003"/>
    <s v="Headphones"/>
    <x v="0"/>
    <n v="4"/>
    <n v="149.99"/>
    <s v="Cash"/>
    <s v="North"/>
    <s v="Basic"/>
    <d v="2022-12-14T00:00:00"/>
    <n v="599.96"/>
  </r>
  <r>
    <s v="Karen Hill"/>
    <s v="P009"/>
    <s v="Monitor"/>
    <x v="0"/>
    <n v="2"/>
    <n v="249.99"/>
    <s v="PayPal"/>
    <s v="South"/>
    <s v="Basic"/>
    <d v="2023-03-08T00:00:00"/>
    <n v="499.98"/>
  </r>
  <r>
    <s v="Sarah Davis"/>
    <s v="P006"/>
    <s v="Office Chair"/>
    <x v="2"/>
    <n v="4"/>
    <n v="199.99"/>
    <s v="Debit Card"/>
    <s v="East"/>
    <s v="Basic"/>
    <d v="2021-09-19T00:00:00"/>
    <n v="799.96"/>
  </r>
  <r>
    <s v="Daniel King"/>
    <s v="P010"/>
    <s v="Keyboard"/>
    <x v="0"/>
    <n v="5"/>
    <n v="89.99"/>
    <s v="Credit Card"/>
    <s v="East"/>
    <s v="Premium"/>
    <d v="2021-09-07T00:00:00"/>
    <n v="449.95"/>
  </r>
  <r>
    <s v="William White"/>
    <s v="P003"/>
    <s v="Headphones"/>
    <x v="0"/>
    <n v="1"/>
    <n v="149.99"/>
    <s v="PayPal"/>
    <s v="East"/>
    <s v="Standard"/>
    <d v="2021-10-13T00:00:00"/>
    <n v="149.99"/>
  </r>
  <r>
    <s v="Peter Richardson"/>
    <s v="P002"/>
    <s v="Smartphone"/>
    <x v="0"/>
    <n v="4"/>
    <n v="699.99"/>
    <s v="PayPal"/>
    <s v="South"/>
    <s v="Basic"/>
    <d v="2022-02-26T00:00:00"/>
    <n v="2799.96"/>
  </r>
  <r>
    <s v="Sandra Phillips"/>
    <s v="P001"/>
    <s v="Laptop"/>
    <x v="0"/>
    <n v="3"/>
    <n v="899.99"/>
    <s v="Credit Card"/>
    <s v="North"/>
    <s v="Standard"/>
    <d v="2023-08-19T00:00:00"/>
    <n v="2699.97"/>
  </r>
  <r>
    <s v="Linda Martin"/>
    <s v="P008"/>
    <s v="Bookshelf"/>
    <x v="2"/>
    <n v="3"/>
    <n v="149.99"/>
    <s v="PayPal"/>
    <s v="East"/>
    <s v="Basic"/>
    <d v="2022-11-21T00:00:00"/>
    <n v="449.97"/>
  </r>
  <r>
    <s v="Patricia Moore"/>
    <s v="P007"/>
    <s v="Desk"/>
    <x v="2"/>
    <n v="2"/>
    <n v="299.99"/>
    <s v="Debit Card"/>
    <s v="Central"/>
    <s v="Basic"/>
    <d v="2022-01-08T00:00:00"/>
    <n v="599.98"/>
  </r>
  <r>
    <s v="Richard Lee"/>
    <s v="P006"/>
    <s v="Office Chair"/>
    <x v="2"/>
    <n v="1"/>
    <n v="199.99"/>
    <s v="Debit Card"/>
    <s v="East"/>
    <s v="Standard"/>
    <d v="2023-01-27T00:00:00"/>
    <n v="199.99"/>
  </r>
  <r>
    <s v="Michael Brown"/>
    <s v="P007"/>
    <s v="Desk"/>
    <x v="2"/>
    <n v="4"/>
    <n v="299.99"/>
    <s v="Cash"/>
    <s v="Central"/>
    <s v="Premium"/>
    <d v="2021-09-21T00:00:00"/>
    <n v="1199.96"/>
  </r>
  <r>
    <s v="Maria Garcia"/>
    <s v="P005"/>
    <s v="Blender"/>
    <x v="1"/>
    <n v="2"/>
    <n v="59.99"/>
    <s v="Credit Card"/>
    <s v="Central"/>
    <s v="Basic"/>
    <d v="2022-01-18T00:00:00"/>
    <n v="119.98"/>
  </r>
  <r>
    <s v="Sandra Phillips"/>
    <s v="P003"/>
    <s v="Headphones"/>
    <x v="0"/>
    <n v="4"/>
    <n v="149.99"/>
    <s v="Credit Card"/>
    <s v="North"/>
    <s v="Premium"/>
    <d v="2023-05-30T00:00:00"/>
    <n v="599.96"/>
  </r>
  <r>
    <s v="Elizabeth Hall"/>
    <s v="P002"/>
    <s v="Smartphone"/>
    <x v="0"/>
    <n v="2"/>
    <n v="699.99"/>
    <s v="Debit Card"/>
    <s v="East"/>
    <s v="Premium"/>
    <d v="2023-12-14T00:00:00"/>
    <n v="1399.98"/>
  </r>
  <r>
    <s v="Carol Evans"/>
    <s v="P008"/>
    <s v="Bookshelf"/>
    <x v="2"/>
    <n v="3"/>
    <n v="149.99"/>
    <s v="Credit Card"/>
    <s v="South"/>
    <s v="Standard"/>
    <d v="2023-01-14T00:00:00"/>
    <n v="449.97"/>
  </r>
  <r>
    <s v="Daniel King"/>
    <s v="P007"/>
    <s v="Desk"/>
    <x v="2"/>
    <n v="3"/>
    <n v="299.99"/>
    <s v="Credit Card"/>
    <s v="Central"/>
    <s v="Standard"/>
    <d v="2023-09-05T00:00:00"/>
    <n v="899.97"/>
  </r>
  <r>
    <s v="George Adams"/>
    <s v="P001"/>
    <s v="Laptop"/>
    <x v="0"/>
    <n v="3"/>
    <n v="899.99"/>
    <s v="PayPal"/>
    <s v="West"/>
    <s v="Basic"/>
    <d v="2023-10-16T00:00:00"/>
    <n v="2699.97"/>
  </r>
  <r>
    <s v="Barbara Young"/>
    <s v="P002"/>
    <s v="Smartphone"/>
    <x v="0"/>
    <n v="5"/>
    <n v="699.99"/>
    <s v="Cash"/>
    <s v="East"/>
    <s v="Standard"/>
    <d v="2023-03-23T00:00:00"/>
    <n v="3499.95"/>
  </r>
  <r>
    <s v="Raymond Ross"/>
    <s v="P002"/>
    <s v="Smartphone"/>
    <x v="0"/>
    <n v="4"/>
    <n v="699.99"/>
    <s v="Credit Card"/>
    <s v="Central"/>
    <s v="Basic"/>
    <d v="2024-04-03T00:00:00"/>
    <n v="2799.96"/>
  </r>
  <r>
    <s v="Sharon Butler"/>
    <s v="P001"/>
    <s v="Laptop"/>
    <x v="0"/>
    <n v="1"/>
    <n v="899.99"/>
    <s v="Credit Card"/>
    <s v="East"/>
    <s v="Standard"/>
    <d v="2024-03-18T00:00:00"/>
    <n v="899.99"/>
  </r>
  <r>
    <s v="Lawrence Reed"/>
    <s v="P003"/>
    <s v="Headphones"/>
    <x v="0"/>
    <n v="2"/>
    <n v="149.99"/>
    <s v="Credit Card"/>
    <s v="West"/>
    <s v="Basic"/>
    <d v="2022-12-21T00:00:00"/>
    <n v="299.98"/>
  </r>
  <r>
    <s v="Lawrence Reed"/>
    <s v="P010"/>
    <s v="Keyboard"/>
    <x v="0"/>
    <n v="3"/>
    <n v="89.99"/>
    <s v="PayPal"/>
    <s v="Central"/>
    <s v="Basic"/>
    <d v="2021-12-21T00:00:00"/>
    <n v="269.97000000000003"/>
  </r>
  <r>
    <s v="Kathleen Bennett"/>
    <s v="P003"/>
    <s v="Headphones"/>
    <x v="0"/>
    <n v="2"/>
    <n v="149.99"/>
    <s v="PayPal"/>
    <s v="Central"/>
    <s v="Basic"/>
    <d v="2021-10-04T00:00:00"/>
    <n v="299.98"/>
  </r>
  <r>
    <s v="Sarah Davis"/>
    <s v="P002"/>
    <s v="Smartphone"/>
    <x v="0"/>
    <n v="2"/>
    <n v="699.99"/>
    <s v="Cash"/>
    <s v="Central"/>
    <s v="Basic"/>
    <d v="2023-03-07T00:00:00"/>
    <n v="1399.98"/>
  </r>
  <r>
    <s v="Betty Campbell"/>
    <s v="P002"/>
    <s v="Smartphone"/>
    <x v="0"/>
    <n v="5"/>
    <n v="699.99"/>
    <s v="Cash"/>
    <s v="North"/>
    <s v="Premium"/>
    <d v="2022-03-15T00:00:00"/>
    <n v="3499.95"/>
  </r>
  <r>
    <s v="Raymond Ross"/>
    <s v="P010"/>
    <s v="Keyboard"/>
    <x v="0"/>
    <n v="3"/>
    <n v="89.99"/>
    <s v="Credit Card"/>
    <s v="North"/>
    <s v="Standard"/>
    <d v="2022-02-23T00:00:00"/>
    <n v="269.97000000000003"/>
  </r>
  <r>
    <s v="Paul Baker"/>
    <s v="P009"/>
    <s v="Monitor"/>
    <x v="0"/>
    <n v="5"/>
    <n v="249.99"/>
    <s v="Credit Card"/>
    <s v="South"/>
    <s v="Standard"/>
    <d v="2022-11-16T00:00:00"/>
    <n v="1249.95"/>
  </r>
  <r>
    <s v="Karen Hill"/>
    <s v="P007"/>
    <s v="Desk"/>
    <x v="2"/>
    <n v="3"/>
    <n v="299.99"/>
    <s v="Credit Card"/>
    <s v="South"/>
    <s v="Standard"/>
    <d v="2021-11-02T00:00:00"/>
    <n v="899.97"/>
  </r>
  <r>
    <s v="Patricia Moore"/>
    <s v="P010"/>
    <s v="Keyboard"/>
    <x v="0"/>
    <n v="3"/>
    <n v="89.99"/>
    <s v="Credit Card"/>
    <s v="North"/>
    <s v="Premium"/>
    <d v="2021-08-12T00:00:00"/>
    <n v="269.97000000000003"/>
  </r>
  <r>
    <s v="Maria Garcia"/>
    <s v="P008"/>
    <s v="Bookshelf"/>
    <x v="2"/>
    <n v="2"/>
    <n v="149.99"/>
    <s v="Credit Card"/>
    <s v="West"/>
    <s v="Premium"/>
    <d v="2022-10-14T00:00:00"/>
    <n v="299.98"/>
  </r>
  <r>
    <s v="Margaret Wright"/>
    <s v="P009"/>
    <s v="Monitor"/>
    <x v="0"/>
    <n v="1"/>
    <n v="249.99"/>
    <s v="Credit Card"/>
    <s v="North"/>
    <s v="Premium"/>
    <d v="2022-09-24T00:00:00"/>
    <n v="249.99"/>
  </r>
  <r>
    <s v="Peter Richardson"/>
    <s v="P003"/>
    <s v="Headphones"/>
    <x v="0"/>
    <n v="3"/>
    <n v="149.99"/>
    <s v="Cash"/>
    <s v="North"/>
    <s v="Basic"/>
    <d v="2022-07-27T00:00:00"/>
    <n v="449.97"/>
  </r>
  <r>
    <s v="Paul Baker"/>
    <s v="P005"/>
    <s v="Blender"/>
    <x v="1"/>
    <n v="5"/>
    <n v="59.99"/>
    <s v="PayPal"/>
    <s v="West"/>
    <s v="Premium"/>
    <d v="2022-05-13T00:00:00"/>
    <n v="299.95"/>
  </r>
  <r>
    <s v="Patricia Moore"/>
    <s v="P009"/>
    <s v="Monitor"/>
    <x v="0"/>
    <n v="4"/>
    <n v="249.99"/>
    <s v="Credit Card"/>
    <s v="West"/>
    <s v="Standard"/>
    <d v="2022-04-08T00:00:00"/>
    <n v="999.96"/>
  </r>
  <r>
    <s v="Sarah Davis"/>
    <s v="P008"/>
    <s v="Bookshelf"/>
    <x v="2"/>
    <n v="5"/>
    <n v="149.99"/>
    <s v="PayPal"/>
    <s v="Central"/>
    <s v="Basic"/>
    <d v="2022-12-06T00:00:00"/>
    <n v="749.95"/>
  </r>
  <r>
    <s v="George Adams"/>
    <s v="P005"/>
    <s v="Blender"/>
    <x v="1"/>
    <n v="3"/>
    <n v="59.99"/>
    <s v="Debit Card"/>
    <s v="South"/>
    <s v="Standard"/>
    <d v="2023-11-30T00:00:00"/>
    <n v="179.97"/>
  </r>
  <r>
    <s v="Sandra Phillips"/>
    <s v="P008"/>
    <s v="Bookshelf"/>
    <x v="2"/>
    <n v="5"/>
    <n v="149.99"/>
    <s v="Cash"/>
    <s v="North"/>
    <s v="Basic"/>
    <d v="2022-11-04T00:00:00"/>
    <n v="749.95"/>
  </r>
  <r>
    <s v="Mark Carter"/>
    <s v="P002"/>
    <s v="Smartphone"/>
    <x v="0"/>
    <n v="2"/>
    <n v="699.99"/>
    <s v="PayPal"/>
    <s v="West"/>
    <s v="Standard"/>
    <d v="2022-07-28T00:00:00"/>
    <n v="1399.98"/>
  </r>
  <r>
    <s v="Edward Mitchell"/>
    <s v="P006"/>
    <s v="Office Chair"/>
    <x v="2"/>
    <n v="4"/>
    <n v="199.99"/>
    <s v="Debit Card"/>
    <s v="Central"/>
    <s v="Premium"/>
    <d v="2021-08-19T00:00:00"/>
    <n v="799.96"/>
  </r>
  <r>
    <s v="Frank Torres"/>
    <s v="P005"/>
    <s v="Blender"/>
    <x v="1"/>
    <n v="1"/>
    <n v="59.99"/>
    <s v="Debit Card"/>
    <s v="West"/>
    <s v="Standard"/>
    <d v="2021-12-30T00:00:00"/>
    <n v="59.99"/>
  </r>
  <r>
    <s v="Sarah Davis"/>
    <s v="P002"/>
    <s v="Smartphone"/>
    <x v="0"/>
    <n v="3"/>
    <n v="699.99"/>
    <s v="PayPal"/>
    <s v="West"/>
    <s v="Standard"/>
    <d v="2022-01-22T00:00:00"/>
    <n v="2099.9699999999998"/>
  </r>
  <r>
    <s v="Douglas Watson"/>
    <s v="P009"/>
    <s v="Monitor"/>
    <x v="0"/>
    <n v="5"/>
    <n v="249.99"/>
    <s v="Credit Card"/>
    <s v="North"/>
    <s v="Basic"/>
    <d v="2022-11-08T00:00:00"/>
    <n v="1249.95"/>
  </r>
  <r>
    <s v="Linda Martin"/>
    <s v="P008"/>
    <s v="Bookshelf"/>
    <x v="2"/>
    <n v="2"/>
    <n v="149.99"/>
    <s v="Cash"/>
    <s v="South"/>
    <s v="Standard"/>
    <d v="2023-06-24T00:00:00"/>
    <n v="299.98"/>
  </r>
  <r>
    <s v="Kevin Scott"/>
    <s v="P007"/>
    <s v="Desk"/>
    <x v="2"/>
    <n v="3"/>
    <n v="299.99"/>
    <s v="Cash"/>
    <s v="South"/>
    <s v="Premium"/>
    <d v="2022-04-08T00:00:00"/>
    <n v="899.97"/>
  </r>
  <r>
    <s v="Charles Allen"/>
    <s v="P009"/>
    <s v="Monitor"/>
    <x v="0"/>
    <n v="5"/>
    <n v="249.99"/>
    <s v="Cash"/>
    <s v="Central"/>
    <s v="Premium"/>
    <d v="2021-10-16T00:00:00"/>
    <n v="1249.95"/>
  </r>
  <r>
    <s v="Joseph Jackson"/>
    <s v="P003"/>
    <s v="Headphones"/>
    <x v="0"/>
    <n v="2"/>
    <n v="149.99"/>
    <s v="Cash"/>
    <s v="South"/>
    <s v="Premium"/>
    <d v="2021-10-06T00:00:00"/>
    <n v="299.98"/>
  </r>
  <r>
    <s v="Mark Carter"/>
    <s v="P002"/>
    <s v="Smartphone"/>
    <x v="0"/>
    <n v="5"/>
    <n v="699.99"/>
    <s v="Debit Card"/>
    <s v="West"/>
    <s v="Standard"/>
    <d v="2023-01-18T00:00:00"/>
    <n v="3499.95"/>
  </r>
  <r>
    <s v="William White"/>
    <s v="P009"/>
    <s v="Monitor"/>
    <x v="0"/>
    <n v="4"/>
    <n v="249.99"/>
    <s v="PayPal"/>
    <s v="East"/>
    <s v="Premium"/>
    <d v="2023-06-21T00:00:00"/>
    <n v="999.96"/>
  </r>
  <r>
    <s v="Dorothy Nelson"/>
    <s v="P002"/>
    <s v="Smartphone"/>
    <x v="0"/>
    <n v="4"/>
    <n v="699.99"/>
    <s v="Credit Card"/>
    <s v="North"/>
    <s v="Premium"/>
    <d v="2022-05-22T00:00:00"/>
    <n v="2799.96"/>
  </r>
  <r>
    <s v="Nancy Collins"/>
    <s v="P009"/>
    <s v="Monitor"/>
    <x v="0"/>
    <n v="2"/>
    <n v="249.99"/>
    <s v="Credit Card"/>
    <s v="Central"/>
    <s v="Premium"/>
    <d v="2021-07-19T00:00:00"/>
    <n v="499.98"/>
  </r>
  <r>
    <s v="James Johnson"/>
    <s v="P005"/>
    <s v="Blender"/>
    <x v="1"/>
    <n v="3"/>
    <n v="59.99"/>
    <s v="Cash"/>
    <s v="Central"/>
    <s v="Premium"/>
    <d v="2023-05-06T00:00:00"/>
    <n v="179.97"/>
  </r>
  <r>
    <s v="Jennifer Taylor"/>
    <s v="P004"/>
    <s v="Coffee Maker"/>
    <x v="1"/>
    <n v="4"/>
    <n v="79.989999999999995"/>
    <s v="Debit Card"/>
    <s v="East"/>
    <s v="Standard"/>
    <d v="2022-12-26T00:00:00"/>
    <n v="319.95999999999998"/>
  </r>
  <r>
    <s v="Helen Roberts"/>
    <s v="P004"/>
    <s v="Coffee Maker"/>
    <x v="1"/>
    <n v="3"/>
    <n v="79.989999999999995"/>
    <s v="Debit Card"/>
    <s v="East"/>
    <s v="Standard"/>
    <d v="2022-08-06T00:00:00"/>
    <n v="239.97"/>
  </r>
  <r>
    <s v="Peter Richardson"/>
    <s v="P001"/>
    <s v="Laptop"/>
    <x v="0"/>
    <n v="2"/>
    <n v="899.99"/>
    <s v="Cash"/>
    <s v="North"/>
    <s v="Basic"/>
    <d v="2021-07-29T00:00:00"/>
    <n v="1799.98"/>
  </r>
  <r>
    <s v="David Martinez"/>
    <s v="P008"/>
    <s v="Bookshelf"/>
    <x v="2"/>
    <n v="1"/>
    <n v="149.99"/>
    <s v="Debit Card"/>
    <s v="East"/>
    <s v="Standard"/>
    <d v="2023-10-01T00:00:00"/>
    <n v="149.99"/>
  </r>
  <r>
    <s v="Steven Turner"/>
    <s v="P007"/>
    <s v="Desk"/>
    <x v="2"/>
    <n v="2"/>
    <n v="299.99"/>
    <s v="Cash"/>
    <s v="East"/>
    <s v="Premium"/>
    <d v="2022-06-12T00:00:00"/>
    <n v="599.98"/>
  </r>
  <r>
    <s v="Emma Wilson"/>
    <s v="P005"/>
    <s v="Blender"/>
    <x v="1"/>
    <n v="2"/>
    <n v="59.99"/>
    <s v="Cash"/>
    <s v="West"/>
    <s v="Basic"/>
    <d v="2023-09-22T00:00:00"/>
    <n v="119.98"/>
  </r>
  <r>
    <s v="David Martinez"/>
    <s v="P010"/>
    <s v="Keyboard"/>
    <x v="0"/>
    <n v="1"/>
    <n v="89.99"/>
    <s v="Debit Card"/>
    <s v="Central"/>
    <s v="Standard"/>
    <d v="2022-07-18T00:00:00"/>
    <n v="89.99"/>
  </r>
  <r>
    <s v="Daniel King"/>
    <s v="P001"/>
    <s v="Laptop"/>
    <x v="0"/>
    <n v="5"/>
    <n v="899.99"/>
    <s v="Debit Card"/>
    <s v="East"/>
    <s v="Standard"/>
    <d v="2022-03-05T00:00:00"/>
    <n v="4499.95"/>
  </r>
  <r>
    <s v="Michael Brown"/>
    <s v="P008"/>
    <s v="Bookshelf"/>
    <x v="2"/>
    <n v="2"/>
    <n v="149.99"/>
    <s v="Cash"/>
    <s v="South"/>
    <s v="Basic"/>
    <d v="2023-11-09T00:00:00"/>
    <n v="299.98"/>
  </r>
  <r>
    <s v="Linda Martin"/>
    <s v="P003"/>
    <s v="Headphones"/>
    <x v="0"/>
    <n v="2"/>
    <n v="149.99"/>
    <s v="Debit Card"/>
    <s v="West"/>
    <s v="Premium"/>
    <d v="2023-12-20T00:00:00"/>
    <n v="299.98"/>
  </r>
  <r>
    <s v="David Martinez"/>
    <s v="P008"/>
    <s v="Bookshelf"/>
    <x v="2"/>
    <n v="3"/>
    <n v="149.99"/>
    <s v="Debit Card"/>
    <s v="North"/>
    <s v="Standard"/>
    <d v="2021-11-22T00:00:00"/>
    <n v="449.97"/>
  </r>
  <r>
    <s v="Kevin Scott"/>
    <s v="P007"/>
    <s v="Desk"/>
    <x v="2"/>
    <n v="2"/>
    <n v="299.99"/>
    <s v="PayPal"/>
    <s v="South"/>
    <s v="Basic"/>
    <d v="2022-06-09T00:00:00"/>
    <n v="599.98"/>
  </r>
  <r>
    <s v="Michael Brown"/>
    <s v="P007"/>
    <s v="Desk"/>
    <x v="2"/>
    <n v="2"/>
    <n v="299.99"/>
    <s v="Cash"/>
    <s v="West"/>
    <s v="Basic"/>
    <d v="2022-07-29T00:00:00"/>
    <n v="599.98"/>
  </r>
  <r>
    <s v="Helen Roberts"/>
    <s v="P006"/>
    <s v="Office Chair"/>
    <x v="2"/>
    <n v="4"/>
    <n v="199.99"/>
    <s v="Credit Card"/>
    <s v="Central"/>
    <s v="Basic"/>
    <d v="2021-11-23T00:00:00"/>
    <n v="799.96"/>
  </r>
  <r>
    <s v="Robert Thomas"/>
    <s v="P010"/>
    <s v="Keyboard"/>
    <x v="0"/>
    <n v="1"/>
    <n v="89.99"/>
    <s v="Credit Card"/>
    <s v="South"/>
    <s v="Premium"/>
    <d v="2022-01-30T00:00:00"/>
    <n v="89.99"/>
  </r>
  <r>
    <s v="Nancy Collins"/>
    <s v="P008"/>
    <s v="Bookshelf"/>
    <x v="2"/>
    <n v="5"/>
    <n v="149.99"/>
    <s v="Cash"/>
    <s v="Central"/>
    <s v="Premium"/>
    <d v="2024-02-25T00:00:00"/>
    <n v="749.95"/>
  </r>
  <r>
    <s v="Mark Carter"/>
    <s v="P001"/>
    <s v="Laptop"/>
    <x v="0"/>
    <n v="1"/>
    <n v="899.99"/>
    <s v="PayPal"/>
    <s v="North"/>
    <s v="Premium"/>
    <d v="2023-05-04T00:00:00"/>
    <n v="899.99"/>
  </r>
  <r>
    <s v="Daniel King"/>
    <s v="P010"/>
    <s v="Keyboard"/>
    <x v="0"/>
    <n v="2"/>
    <n v="89.99"/>
    <s v="Credit Card"/>
    <s v="South"/>
    <s v="Premium"/>
    <d v="2022-01-03T00:00:00"/>
    <n v="179.98"/>
  </r>
  <r>
    <s v="Arthur Edwards"/>
    <s v="P001"/>
    <s v="Laptop"/>
    <x v="0"/>
    <n v="1"/>
    <n v="899.99"/>
    <s v="PayPal"/>
    <s v="North"/>
    <s v="Standard"/>
    <d v="2022-07-10T00:00:00"/>
    <n v="899.99"/>
  </r>
  <r>
    <s v="Lisa Anderson"/>
    <s v="P003"/>
    <s v="Headphones"/>
    <x v="0"/>
    <n v="5"/>
    <n v="149.99"/>
    <s v="PayPal"/>
    <s v="East"/>
    <s v="Premium"/>
    <d v="2022-09-20T00:00:00"/>
    <n v="749.95"/>
  </r>
  <r>
    <s v="Michael Brown"/>
    <s v="P007"/>
    <s v="Desk"/>
    <x v="2"/>
    <n v="3"/>
    <n v="299.99"/>
    <s v="Cash"/>
    <s v="South"/>
    <s v="Standard"/>
    <d v="2021-08-14T00:00:00"/>
    <n v="899.97"/>
  </r>
  <r>
    <s v="Karen Hill"/>
    <s v="P002"/>
    <s v="Smartphone"/>
    <x v="0"/>
    <n v="3"/>
    <n v="699.99"/>
    <s v="Credit Card"/>
    <s v="Central"/>
    <s v="Premium"/>
    <d v="2023-06-28T00:00:00"/>
    <n v="2099.9699999999998"/>
  </r>
  <r>
    <s v="Nancy Collins"/>
    <s v="P006"/>
    <s v="Office Chair"/>
    <x v="2"/>
    <n v="5"/>
    <n v="199.99"/>
    <s v="PayPal"/>
    <s v="Central"/>
    <s v="Standard"/>
    <d v="2022-03-13T00:00:00"/>
    <n v="999.95"/>
  </r>
  <r>
    <s v="Virginia Sanders"/>
    <s v="P009"/>
    <s v="Monitor"/>
    <x v="0"/>
    <n v="5"/>
    <n v="249.99"/>
    <s v="Credit Card"/>
    <s v="South"/>
    <s v="Basic"/>
    <d v="2024-02-08T00:00:00"/>
    <n v="1249.95"/>
  </r>
  <r>
    <s v="Steven Turner"/>
    <s v="P003"/>
    <s v="Headphones"/>
    <x v="0"/>
    <n v="4"/>
    <n v="149.99"/>
    <s v="Debit Card"/>
    <s v="East"/>
    <s v="Standard"/>
    <d v="2021-12-06T00:00:00"/>
    <n v="599.96"/>
  </r>
  <r>
    <s v="Michelle Rogers"/>
    <s v="P002"/>
    <s v="Smartphone"/>
    <x v="0"/>
    <n v="3"/>
    <n v="699.99"/>
    <s v="Cash"/>
    <s v="North"/>
    <s v="Premium"/>
    <d v="2022-02-10T00:00:00"/>
    <n v="2099.9699999999998"/>
  </r>
  <r>
    <s v="Douglas Watson"/>
    <s v="P004"/>
    <s v="Coffee Maker"/>
    <x v="1"/>
    <n v="1"/>
    <n v="79.989999999999995"/>
    <s v="Credit Card"/>
    <s v="South"/>
    <s v="Basic"/>
    <d v="2024-01-31T00:00:00"/>
    <n v="79.989999999999995"/>
  </r>
  <r>
    <s v="Mark Carter"/>
    <s v="P007"/>
    <s v="Desk"/>
    <x v="2"/>
    <n v="1"/>
    <n v="299.99"/>
    <s v="Credit Card"/>
    <s v="North"/>
    <s v="Basic"/>
    <d v="2021-08-28T00:00:00"/>
    <n v="299.99"/>
  </r>
  <r>
    <s v="Betty Campbell"/>
    <s v="P009"/>
    <s v="Monitor"/>
    <x v="0"/>
    <n v="4"/>
    <n v="249.99"/>
    <s v="Credit Card"/>
    <s v="North"/>
    <s v="Premium"/>
    <d v="2021-09-21T00:00:00"/>
    <n v="999.96"/>
  </r>
  <r>
    <s v="Helen Roberts"/>
    <s v="P003"/>
    <s v="Headphones"/>
    <x v="0"/>
    <n v="2"/>
    <n v="149.99"/>
    <s v="Cash"/>
    <s v="North"/>
    <s v="Standard"/>
    <d v="2022-12-18T00:00:00"/>
    <n v="299.98"/>
  </r>
  <r>
    <s v="Sandra Phillips"/>
    <s v="P007"/>
    <s v="Desk"/>
    <x v="2"/>
    <n v="3"/>
    <n v="299.99"/>
    <s v="Credit Card"/>
    <s v="South"/>
    <s v="Basic"/>
    <d v="2023-10-05T00:00:00"/>
    <n v="899.97"/>
  </r>
  <r>
    <s v="Lawrence Reed"/>
    <s v="P006"/>
    <s v="Office Chair"/>
    <x v="2"/>
    <n v="4"/>
    <n v="199.99"/>
    <s v="Debit Card"/>
    <s v="South"/>
    <s v="Standard"/>
    <d v="2021-12-14T00:00:00"/>
    <n v="799.96"/>
  </r>
  <r>
    <s v="Elizabeth Hall"/>
    <s v="P007"/>
    <s v="Desk"/>
    <x v="2"/>
    <n v="5"/>
    <n v="299.99"/>
    <s v="Debit Card"/>
    <s v="Central"/>
    <s v="Basic"/>
    <d v="2021-08-23T00:00:00"/>
    <n v="1499.95"/>
  </r>
  <r>
    <s v="Robert Thomas"/>
    <s v="P008"/>
    <s v="Bookshelf"/>
    <x v="2"/>
    <n v="3"/>
    <n v="149.99"/>
    <s v="Credit Card"/>
    <s v="East"/>
    <s v="Standard"/>
    <d v="2021-07-18T00:00:00"/>
    <n v="449.97"/>
  </r>
  <r>
    <s v="Lisa Anderson"/>
    <s v="P005"/>
    <s v="Blender"/>
    <x v="1"/>
    <n v="5"/>
    <n v="59.99"/>
    <s v="Debit Card"/>
    <s v="East"/>
    <s v="Basic"/>
    <d v="2022-03-22T00:00:00"/>
    <n v="299.95"/>
  </r>
  <r>
    <s v="Susan Green"/>
    <s v="P005"/>
    <s v="Blender"/>
    <x v="1"/>
    <n v="4"/>
    <n v="59.99"/>
    <s v="Debit Card"/>
    <s v="East"/>
    <s v="Standard"/>
    <d v="2022-01-03T00:00:00"/>
    <n v="239.96"/>
  </r>
  <r>
    <s v="Dorothy Nelson"/>
    <s v="P009"/>
    <s v="Monitor"/>
    <x v="0"/>
    <n v="4"/>
    <n v="249.99"/>
    <s v="Debit Card"/>
    <s v="Central"/>
    <s v="Premium"/>
    <d v="2023-10-18T00:00:00"/>
    <n v="999.96"/>
  </r>
  <r>
    <s v="William White"/>
    <s v="P001"/>
    <s v="Laptop"/>
    <x v="0"/>
    <n v="4"/>
    <n v="899.99"/>
    <s v="PayPal"/>
    <s v="Central"/>
    <s v="Basic"/>
    <d v="2022-06-22T00:00:00"/>
    <n v="3599.96"/>
  </r>
  <r>
    <s v="Mark Carter"/>
    <s v="P007"/>
    <s v="Desk"/>
    <x v="2"/>
    <n v="3"/>
    <n v="299.99"/>
    <s v="Debit Card"/>
    <s v="West"/>
    <s v="Standard"/>
    <d v="2023-01-26T00:00:00"/>
    <n v="899.97"/>
  </r>
  <r>
    <s v="Douglas Watson"/>
    <s v="P002"/>
    <s v="Smartphone"/>
    <x v="0"/>
    <n v="2"/>
    <n v="699.99"/>
    <s v="Debit Card"/>
    <s v="Central"/>
    <s v="Premium"/>
    <d v="2022-04-30T00:00:00"/>
    <n v="1399.98"/>
  </r>
  <r>
    <s v="Karen Hill"/>
    <s v="P002"/>
    <s v="Smartphone"/>
    <x v="0"/>
    <n v="4"/>
    <n v="699.99"/>
    <s v="Debit Card"/>
    <s v="West"/>
    <s v="Premium"/>
    <d v="2022-05-11T00:00:00"/>
    <n v="2799.96"/>
  </r>
  <r>
    <s v="Edward Mitchell"/>
    <s v="P010"/>
    <s v="Keyboard"/>
    <x v="0"/>
    <n v="2"/>
    <n v="89.99"/>
    <s v="Debit Card"/>
    <s v="South"/>
    <s v="Basic"/>
    <d v="2022-08-04T00:00:00"/>
    <n v="179.98"/>
  </r>
  <r>
    <s v="Michael Brown"/>
    <s v="P010"/>
    <s v="Keyboard"/>
    <x v="0"/>
    <n v="3"/>
    <n v="89.99"/>
    <s v="Debit Card"/>
    <s v="South"/>
    <s v="Premium"/>
    <d v="2024-01-16T00:00:00"/>
    <n v="269.97000000000003"/>
  </r>
  <r>
    <s v="Arthur Edwards"/>
    <s v="P005"/>
    <s v="Blender"/>
    <x v="1"/>
    <n v="1"/>
    <n v="59.99"/>
    <s v="Debit Card"/>
    <s v="Central"/>
    <s v="Standard"/>
    <d v="2023-04-29T00:00:00"/>
    <n v="59.99"/>
  </r>
  <r>
    <s v="Ruth Brooks"/>
    <s v="P008"/>
    <s v="Bookshelf"/>
    <x v="2"/>
    <n v="3"/>
    <n v="149.99"/>
    <s v="Debit Card"/>
    <s v="North"/>
    <s v="Premium"/>
    <d v="2022-01-03T00:00:00"/>
    <n v="449.97"/>
  </r>
  <r>
    <s v="Virginia Sanders"/>
    <s v="P007"/>
    <s v="Desk"/>
    <x v="2"/>
    <n v="5"/>
    <n v="299.99"/>
    <s v="Credit Card"/>
    <s v="South"/>
    <s v="Basic"/>
    <d v="2023-02-02T00:00:00"/>
    <n v="1499.95"/>
  </r>
  <r>
    <s v="Sharon Butler"/>
    <s v="P005"/>
    <s v="Blender"/>
    <x v="1"/>
    <n v="5"/>
    <n v="59.99"/>
    <s v="Debit Card"/>
    <s v="Central"/>
    <s v="Standard"/>
    <d v="2023-09-08T00:00:00"/>
    <n v="299.95"/>
  </r>
  <r>
    <s v="Nancy Collins"/>
    <s v="P004"/>
    <s v="Coffee Maker"/>
    <x v="1"/>
    <n v="3"/>
    <n v="79.989999999999995"/>
    <s v="Cash"/>
    <s v="East"/>
    <s v="Premium"/>
    <d v="2021-08-28T00:00:00"/>
    <n v="239.97"/>
  </r>
  <r>
    <s v="Kevin Scott"/>
    <s v="P006"/>
    <s v="Office Chair"/>
    <x v="2"/>
    <n v="3"/>
    <n v="199.99"/>
    <s v="Cash"/>
    <s v="Central"/>
    <s v="Basic"/>
    <d v="2022-06-23T00:00:00"/>
    <n v="599.97"/>
  </r>
  <r>
    <s v="Paul Baker"/>
    <s v="P010"/>
    <s v="Keyboard"/>
    <x v="0"/>
    <n v="2"/>
    <n v="89.99"/>
    <s v="PayPal"/>
    <s v="Central"/>
    <s v="Basic"/>
    <d v="2023-11-27T00:00:00"/>
    <n v="179.98"/>
  </r>
  <r>
    <s v="Richard Lee"/>
    <s v="P008"/>
    <s v="Bookshelf"/>
    <x v="2"/>
    <n v="2"/>
    <n v="149.99"/>
    <s v="Cash"/>
    <s v="South"/>
    <s v="Premium"/>
    <d v="2022-06-16T00:00:00"/>
    <n v="299.98"/>
  </r>
  <r>
    <s v="Edward Mitchell"/>
    <s v="P002"/>
    <s v="Smartphone"/>
    <x v="0"/>
    <n v="5"/>
    <n v="699.99"/>
    <s v="PayPal"/>
    <s v="South"/>
    <s v="Premium"/>
    <d v="2024-03-01T00:00:00"/>
    <n v="3499.95"/>
  </r>
  <r>
    <s v="Michael Brown"/>
    <s v="P008"/>
    <s v="Bookshelf"/>
    <x v="2"/>
    <n v="3"/>
    <n v="149.99"/>
    <s v="PayPal"/>
    <s v="Central"/>
    <s v="Standard"/>
    <d v="2022-03-13T00:00:00"/>
    <n v="449.97"/>
  </r>
  <r>
    <s v="Barbara Young"/>
    <s v="P001"/>
    <s v="Laptop"/>
    <x v="0"/>
    <n v="3"/>
    <n v="899.99"/>
    <s v="Cash"/>
    <s v="East"/>
    <s v="Standard"/>
    <d v="2022-02-21T00:00:00"/>
    <n v="2699.97"/>
  </r>
  <r>
    <s v="Frank Torres"/>
    <s v="P006"/>
    <s v="Office Chair"/>
    <x v="2"/>
    <n v="3"/>
    <n v="199.99"/>
    <s v="Cash"/>
    <s v="West"/>
    <s v="Premium"/>
    <d v="2022-09-19T00:00:00"/>
    <n v="599.97"/>
  </r>
  <r>
    <s v="Charles Allen"/>
    <s v="P007"/>
    <s v="Desk"/>
    <x v="2"/>
    <n v="5"/>
    <n v="299.99"/>
    <s v="Cash"/>
    <s v="West"/>
    <s v="Standard"/>
    <d v="2023-08-04T00:00:00"/>
    <n v="1499.95"/>
  </r>
  <r>
    <s v="Sharon Butler"/>
    <s v="P002"/>
    <s v="Smartphone"/>
    <x v="0"/>
    <n v="1"/>
    <n v="699.99"/>
    <s v="PayPal"/>
    <s v="West"/>
    <s v="Basic"/>
    <d v="2023-01-08T00:00:00"/>
    <n v="699.99"/>
  </r>
  <r>
    <s v="Ruth Brooks"/>
    <s v="P002"/>
    <s v="Smartphone"/>
    <x v="0"/>
    <n v="1"/>
    <n v="699.99"/>
    <s v="Cash"/>
    <s v="North"/>
    <s v="Premium"/>
    <d v="2022-01-22T00:00:00"/>
    <n v="699.99"/>
  </r>
  <r>
    <s v="Arthur Edwards"/>
    <s v="P008"/>
    <s v="Bookshelf"/>
    <x v="2"/>
    <n v="4"/>
    <n v="149.99"/>
    <s v="PayPal"/>
    <s v="North"/>
    <s v="Premium"/>
    <d v="2021-08-04T00:00:00"/>
    <n v="599.96"/>
  </r>
  <r>
    <s v="Elizabeth Hall"/>
    <s v="P010"/>
    <s v="Keyboard"/>
    <x v="0"/>
    <n v="5"/>
    <n v="89.99"/>
    <s v="PayPal"/>
    <s v="West"/>
    <s v="Premium"/>
    <d v="2023-08-02T00:00:00"/>
    <n v="449.95"/>
  </r>
  <r>
    <s v="Steven Turner"/>
    <s v="P006"/>
    <s v="Office Chair"/>
    <x v="2"/>
    <n v="2"/>
    <n v="199.99"/>
    <s v="Cash"/>
    <s v="Central"/>
    <s v="Premium"/>
    <d v="2022-01-12T00:00:00"/>
    <n v="399.98"/>
  </r>
  <r>
    <s v="Richard Lee"/>
    <s v="P005"/>
    <s v="Blender"/>
    <x v="1"/>
    <n v="4"/>
    <n v="59.99"/>
    <s v="Cash"/>
    <s v="West"/>
    <s v="Standard"/>
    <d v="2023-05-24T00:00:00"/>
    <n v="239.96"/>
  </r>
  <r>
    <s v="Virginia Sanders"/>
    <s v="P007"/>
    <s v="Desk"/>
    <x v="2"/>
    <n v="2"/>
    <n v="299.99"/>
    <s v="PayPal"/>
    <s v="South"/>
    <s v="Basic"/>
    <d v="2022-01-15T00:00:00"/>
    <n v="599.98"/>
  </r>
  <r>
    <s v="Charles Allen"/>
    <s v="P008"/>
    <s v="Bookshelf"/>
    <x v="2"/>
    <n v="2"/>
    <n v="149.99"/>
    <s v="Cash"/>
    <s v="Central"/>
    <s v="Basic"/>
    <d v="2023-05-22T00:00:00"/>
    <n v="299.98"/>
  </r>
  <r>
    <s v="Lawrence Reed"/>
    <s v="P002"/>
    <s v="Smartphone"/>
    <x v="0"/>
    <n v="5"/>
    <n v="699.99"/>
    <s v="Debit Card"/>
    <s v="East"/>
    <s v="Premium"/>
    <d v="2023-08-23T00:00:00"/>
    <n v="3499.95"/>
  </r>
  <r>
    <s v="Dennis Gray"/>
    <s v="P005"/>
    <s v="Blender"/>
    <x v="1"/>
    <n v="5"/>
    <n v="59.99"/>
    <s v="Cash"/>
    <s v="West"/>
    <s v="Premium"/>
    <d v="2023-12-31T00:00:00"/>
    <n v="299.95"/>
  </r>
  <r>
    <s v="Paul Baker"/>
    <s v="P010"/>
    <s v="Keyboard"/>
    <x v="0"/>
    <n v="2"/>
    <n v="89.99"/>
    <s v="Credit Card"/>
    <s v="West"/>
    <s v="Premium"/>
    <d v="2024-01-04T00:00:00"/>
    <n v="179.98"/>
  </r>
  <r>
    <s v="Helen Roberts"/>
    <s v="P009"/>
    <s v="Monitor"/>
    <x v="0"/>
    <n v="5"/>
    <n v="249.99"/>
    <s v="Cash"/>
    <s v="East"/>
    <s v="Standard"/>
    <d v="2021-12-10T00:00:00"/>
    <n v="1249.95"/>
  </r>
  <r>
    <s v="Lawrence Reed"/>
    <s v="P008"/>
    <s v="Bookshelf"/>
    <x v="2"/>
    <n v="2"/>
    <n v="149.99"/>
    <s v="PayPal"/>
    <s v="Central"/>
    <s v="Premium"/>
    <d v="2022-03-12T00:00:00"/>
    <n v="299.98"/>
  </r>
  <r>
    <s v="Harry Morgan"/>
    <s v="P001"/>
    <s v="Laptop"/>
    <x v="0"/>
    <n v="5"/>
    <n v="899.99"/>
    <s v="PayPal"/>
    <s v="East"/>
    <s v="Premium"/>
    <d v="2024-04-07T00:00:00"/>
    <n v="4499.95"/>
  </r>
  <r>
    <s v="Charles Allen"/>
    <s v="P008"/>
    <s v="Bookshelf"/>
    <x v="2"/>
    <n v="4"/>
    <n v="149.99"/>
    <s v="Cash"/>
    <s v="Central"/>
    <s v="Standard"/>
    <d v="2023-12-03T00:00:00"/>
    <n v="599.96"/>
  </r>
  <r>
    <s v="Harry Morgan"/>
    <s v="P009"/>
    <s v="Monitor"/>
    <x v="0"/>
    <n v="1"/>
    <n v="249.99"/>
    <s v="Cash"/>
    <s v="North"/>
    <s v="Standard"/>
    <d v="2023-07-10T00:00:00"/>
    <n v="249.99"/>
  </r>
  <r>
    <s v="Frank Torres"/>
    <s v="P005"/>
    <s v="Blender"/>
    <x v="1"/>
    <n v="2"/>
    <n v="59.99"/>
    <s v="Credit Card"/>
    <s v="West"/>
    <s v="Basic"/>
    <d v="2023-09-24T00:00:00"/>
    <n v="119.98"/>
  </r>
  <r>
    <s v="Emma Wilson"/>
    <s v="P008"/>
    <s v="Bookshelf"/>
    <x v="2"/>
    <n v="2"/>
    <n v="149.99"/>
    <s v="Cash"/>
    <s v="West"/>
    <s v="Premium"/>
    <d v="2023-11-03T00:00:00"/>
    <n v="299.98"/>
  </r>
  <r>
    <s v="Sharon Butler"/>
    <s v="P001"/>
    <s v="Laptop"/>
    <x v="0"/>
    <n v="3"/>
    <n v="899.99"/>
    <s v="Debit Card"/>
    <s v="North"/>
    <s v="Premium"/>
    <d v="2022-11-11T00:00:00"/>
    <n v="2699.97"/>
  </r>
  <r>
    <s v="Dorothy Nelson"/>
    <s v="P001"/>
    <s v="Laptop"/>
    <x v="0"/>
    <n v="3"/>
    <n v="899.99"/>
    <s v="PayPal"/>
    <s v="North"/>
    <s v="Basic"/>
    <d v="2023-02-18T00:00:00"/>
    <n v="2699.97"/>
  </r>
  <r>
    <s v="Paul Baker"/>
    <s v="P007"/>
    <s v="Desk"/>
    <x v="2"/>
    <n v="3"/>
    <n v="299.99"/>
    <s v="Credit Card"/>
    <s v="West"/>
    <s v="Premium"/>
    <d v="2023-11-04T00:00:00"/>
    <n v="899.97"/>
  </r>
  <r>
    <s v="John Smith"/>
    <s v="P008"/>
    <s v="Bookshelf"/>
    <x v="2"/>
    <n v="4"/>
    <n v="149.99"/>
    <s v="PayPal"/>
    <s v="West"/>
    <s v="Standard"/>
    <d v="2021-12-30T00:00:00"/>
    <n v="599.96"/>
  </r>
  <r>
    <s v="Cynthia Price"/>
    <s v="P004"/>
    <s v="Coffee Maker"/>
    <x v="1"/>
    <n v="4"/>
    <n v="79.989999999999995"/>
    <s v="Credit Card"/>
    <s v="Central"/>
    <s v="Basic"/>
    <d v="2023-12-28T00:00:00"/>
    <n v="319.95999999999998"/>
  </r>
  <r>
    <s v="Margaret Wright"/>
    <s v="P010"/>
    <s v="Keyboard"/>
    <x v="0"/>
    <n v="5"/>
    <n v="89.99"/>
    <s v="PayPal"/>
    <s v="South"/>
    <s v="Basic"/>
    <d v="2022-05-23T00:00:00"/>
    <n v="449.95"/>
  </r>
  <r>
    <s v="Virginia Sanders"/>
    <s v="P008"/>
    <s v="Bookshelf"/>
    <x v="2"/>
    <n v="3"/>
    <n v="149.99"/>
    <s v="PayPal"/>
    <s v="Central"/>
    <s v="Standard"/>
    <d v="2023-09-02T00:00:00"/>
    <n v="449.97"/>
  </r>
  <r>
    <s v="Karen Hill"/>
    <s v="P010"/>
    <s v="Keyboard"/>
    <x v="0"/>
    <n v="2"/>
    <n v="89.99"/>
    <s v="Debit Card"/>
    <s v="West"/>
    <s v="Premium"/>
    <d v="2021-11-22T00:00:00"/>
    <n v="179.98"/>
  </r>
  <r>
    <s v="Cynthia Price"/>
    <s v="P002"/>
    <s v="Smartphone"/>
    <x v="0"/>
    <n v="2"/>
    <n v="699.99"/>
    <s v="PayPal"/>
    <s v="North"/>
    <s v="Standard"/>
    <d v="2022-02-26T00:00:00"/>
    <n v="1399.98"/>
  </r>
  <r>
    <s v="Edward Mitchell"/>
    <s v="P001"/>
    <s v="Laptop"/>
    <x v="0"/>
    <n v="3"/>
    <n v="899.99"/>
    <s v="Cash"/>
    <s v="Central"/>
    <s v="Standard"/>
    <d v="2023-01-27T00:00:00"/>
    <n v="2699.97"/>
  </r>
  <r>
    <s v="Virginia Sanders"/>
    <s v="P004"/>
    <s v="Coffee Maker"/>
    <x v="1"/>
    <n v="3"/>
    <n v="79.989999999999995"/>
    <s v="Credit Card"/>
    <s v="North"/>
    <s v="Basic"/>
    <d v="2021-11-11T00:00:00"/>
    <n v="239.97"/>
  </r>
  <r>
    <s v="Robert Thomas"/>
    <s v="P010"/>
    <s v="Keyboard"/>
    <x v="0"/>
    <n v="1"/>
    <n v="89.99"/>
    <s v="Debit Card"/>
    <s v="East"/>
    <s v="Basic"/>
    <d v="2024-02-24T00:00:00"/>
    <n v="89.99"/>
  </r>
  <r>
    <s v="Douglas Watson"/>
    <s v="P002"/>
    <s v="Smartphone"/>
    <x v="0"/>
    <n v="3"/>
    <n v="699.99"/>
    <s v="PayPal"/>
    <s v="North"/>
    <s v="Basic"/>
    <d v="2022-12-14T00:00:00"/>
    <n v="2099.9699999999998"/>
  </r>
  <r>
    <s v="Lawrence Reed"/>
    <s v="P010"/>
    <s v="Keyboard"/>
    <x v="0"/>
    <n v="2"/>
    <n v="89.99"/>
    <s v="Debit Card"/>
    <s v="East"/>
    <s v="Basic"/>
    <d v="2023-06-11T00:00:00"/>
    <n v="179.98"/>
  </r>
  <r>
    <s v="Steven Turner"/>
    <s v="P010"/>
    <s v="Keyboard"/>
    <x v="0"/>
    <n v="3"/>
    <n v="89.99"/>
    <s v="Debit Card"/>
    <s v="North"/>
    <s v="Premium"/>
    <d v="2022-11-13T00:00:00"/>
    <n v="269.9700000000000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DB27C0B-DB5C-4868-96B0-25CF7106F715}" name="PivotTable5"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E4:F8" firstHeaderRow="1" firstDataRow="1" firstDataCol="1"/>
  <pivotFields count="11">
    <pivotField showAll="0"/>
    <pivotField showAll="0"/>
    <pivotField showAll="0"/>
    <pivotField axis="axisRow" showAll="0">
      <items count="4">
        <item x="1"/>
        <item x="0"/>
        <item x="2"/>
        <item t="default"/>
      </items>
    </pivotField>
    <pivotField showAll="0"/>
    <pivotField showAll="0"/>
    <pivotField showAll="0"/>
    <pivotField showAll="0"/>
    <pivotField showAll="0"/>
    <pivotField numFmtId="14" showAll="0"/>
    <pivotField dataField="1" showAll="0"/>
  </pivotFields>
  <rowFields count="1">
    <field x="3"/>
  </rowFields>
  <rowItems count="4">
    <i>
      <x/>
    </i>
    <i>
      <x v="1"/>
    </i>
    <i>
      <x v="2"/>
    </i>
    <i t="grand">
      <x/>
    </i>
  </rowItems>
  <colItems count="1">
    <i/>
  </colItems>
  <dataFields count="1">
    <dataField name="Sum of Total_Amount" fld="10" baseField="0" baseItem="0"/>
  </dataFields>
  <chartFormats count="12">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3" count="1" selected="0">
            <x v="0"/>
          </reference>
        </references>
      </pivotArea>
    </chartFormat>
    <chartFormat chart="1" format="2">
      <pivotArea type="data" outline="0" fieldPosition="0">
        <references count="2">
          <reference field="4294967294" count="1" selected="0">
            <x v="0"/>
          </reference>
          <reference field="3" count="1" selected="0">
            <x v="1"/>
          </reference>
        </references>
      </pivotArea>
    </chartFormat>
    <chartFormat chart="1" format="3">
      <pivotArea type="data" outline="0" fieldPosition="0">
        <references count="2">
          <reference field="4294967294" count="1" selected="0">
            <x v="0"/>
          </reference>
          <reference field="3" count="1" selected="0">
            <x v="2"/>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3" count="1" selected="0">
            <x v="0"/>
          </reference>
        </references>
      </pivotArea>
    </chartFormat>
    <chartFormat chart="4" format="6">
      <pivotArea type="data" outline="0" fieldPosition="0">
        <references count="2">
          <reference field="4294967294" count="1" selected="0">
            <x v="0"/>
          </reference>
          <reference field="3" count="1" selected="0">
            <x v="1"/>
          </reference>
        </references>
      </pivotArea>
    </chartFormat>
    <chartFormat chart="4" format="7">
      <pivotArea type="data" outline="0" fieldPosition="0">
        <references count="2">
          <reference field="4294967294" count="1" selected="0">
            <x v="0"/>
          </reference>
          <reference field="3" count="1" selected="0">
            <x v="2"/>
          </reference>
        </references>
      </pivotArea>
    </chartFormat>
    <chartFormat chart="5" format="8" series="1">
      <pivotArea type="data" outline="0" fieldPosition="0">
        <references count="1">
          <reference field="4294967294" count="1" selected="0">
            <x v="0"/>
          </reference>
        </references>
      </pivotArea>
    </chartFormat>
    <chartFormat chart="5" format="9">
      <pivotArea type="data" outline="0" fieldPosition="0">
        <references count="2">
          <reference field="4294967294" count="1" selected="0">
            <x v="0"/>
          </reference>
          <reference field="3" count="1" selected="0">
            <x v="0"/>
          </reference>
        </references>
      </pivotArea>
    </chartFormat>
    <chartFormat chart="5" format="10">
      <pivotArea type="data" outline="0" fieldPosition="0">
        <references count="2">
          <reference field="4294967294" count="1" selected="0">
            <x v="0"/>
          </reference>
          <reference field="3" count="1" selected="0">
            <x v="1"/>
          </reference>
        </references>
      </pivotArea>
    </chartFormat>
    <chartFormat chart="5" format="11">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87FA025-94FA-499E-B1CC-9829E848EAAF}"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C4:D10" firstHeaderRow="1" firstDataRow="1" firstDataCol="1"/>
  <pivotFields count="14">
    <pivotField showAll="0"/>
    <pivotField numFmtId="14" showAll="0"/>
    <pivotField showAll="0"/>
    <pivotField showAll="0"/>
    <pivotField showAll="0"/>
    <pivotField showAll="0"/>
    <pivotField showAll="0"/>
    <pivotField showAll="0"/>
    <pivotField showAll="0"/>
    <pivotField showAll="0"/>
    <pivotField axis="axisRow" showAll="0">
      <items count="6">
        <item x="0"/>
        <item x="4"/>
        <item x="2"/>
        <item x="1"/>
        <item x="3"/>
        <item t="default"/>
      </items>
    </pivotField>
    <pivotField showAll="0"/>
    <pivotField numFmtId="14" showAll="0"/>
    <pivotField dataField="1" showAll="0"/>
  </pivotFields>
  <rowFields count="1">
    <field x="10"/>
  </rowFields>
  <rowItems count="6">
    <i>
      <x/>
    </i>
    <i>
      <x v="1"/>
    </i>
    <i>
      <x v="2"/>
    </i>
    <i>
      <x v="3"/>
    </i>
    <i>
      <x v="4"/>
    </i>
    <i t="grand">
      <x/>
    </i>
  </rowItems>
  <colItems count="1">
    <i/>
  </colItems>
  <dataFields count="1">
    <dataField name="Sum of Total_Amount" fld="13" baseField="0" baseItem="0"/>
  </dataFields>
  <chartFormats count="2">
    <chartFormat chart="1"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E133416-54DF-44A6-B30F-CA07C1FD96D6}" name="PivotTable3"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4">
  <location ref="A4:B55" firstHeaderRow="1" firstDataRow="1" firstDataCol="1"/>
  <pivotFields count="14">
    <pivotField showAll="0"/>
    <pivotField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axis="axisRow" showAll="0">
      <items count="51">
        <item x="48"/>
        <item x="17"/>
        <item x="32"/>
        <item x="41"/>
        <item x="6"/>
        <item x="19"/>
        <item x="29"/>
        <item x="35"/>
        <item x="11"/>
        <item x="5"/>
        <item x="46"/>
        <item x="23"/>
        <item x="39"/>
        <item x="25"/>
        <item x="37"/>
        <item x="13"/>
        <item x="38"/>
        <item x="28"/>
        <item x="22"/>
        <item x="47"/>
        <item x="27"/>
        <item x="49"/>
        <item x="1"/>
        <item x="33"/>
        <item x="8"/>
        <item x="3"/>
        <item x="2"/>
        <item x="40"/>
        <item x="21"/>
        <item x="24"/>
        <item x="36"/>
        <item x="15"/>
        <item x="14"/>
        <item x="4"/>
        <item x="12"/>
        <item x="20"/>
        <item x="18"/>
        <item x="0"/>
        <item x="10"/>
        <item x="34"/>
        <item x="45"/>
        <item x="7"/>
        <item x="43"/>
        <item x="42"/>
        <item x="31"/>
        <item x="30"/>
        <item x="26"/>
        <item x="9"/>
        <item x="16"/>
        <item x="44"/>
        <item t="default"/>
      </items>
    </pivotField>
    <pivotField showAll="0"/>
    <pivotField showAll="0"/>
    <pivotField showAll="0"/>
    <pivotField showAll="0"/>
    <pivotField showAll="0"/>
    <pivotField showAll="0"/>
    <pivotField showAll="0"/>
    <pivotField showAll="0"/>
    <pivotField numFmtId="14" showAll="0"/>
    <pivotField dataField="1" showAll="0"/>
  </pivotFields>
  <rowFields count="1">
    <field x="3"/>
  </rowFields>
  <rowItems count="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t="grand">
      <x/>
    </i>
  </rowItems>
  <colItems count="1">
    <i/>
  </colItems>
  <dataFields count="1">
    <dataField name="Sum of Total_Amount" fld="13" baseField="0" baseItem="0"/>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FC569F8-BB09-4FA8-B52B-09D2CD0BB87A}" sourceName="Region">
  <pivotTables>
    <pivotTable tabId="5" name="PivotTable4"/>
  </pivotTables>
  <data>
    <tabular pivotCacheId="1777165630">
      <items count="5">
        <i x="0" s="1"/>
        <i x="4" s="1"/>
        <i x="2"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815B45E8-8E92-4DA9-92AC-5857A6C9AF15}" cache="Slicer_Region" caption="Region"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E88958A0-CDD7-4DD3-B387-3583D825AF40}" cache="Slicer_Region" caption="Region" style="SlicerStyleLigh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27ACBC1-83CD-499A-82BD-8D4DC0EF15E0}" name="Table1" displayName="Table1" ref="A1:N251" totalsRowShown="0" headerRowDxfId="18" dataDxfId="16" headerRowBorderDxfId="17" tableBorderDxfId="15" totalsRowBorderDxfId="14">
  <autoFilter ref="A1:N251" xr:uid="{A7F0D910-C2D2-4AEB-A587-EA8B4BDD74C5}"/>
  <tableColumns count="14">
    <tableColumn id="1" xr3:uid="{CDAA06E1-5F76-4244-A1ED-A324817D541D}" name="Transaction_ID" dataDxfId="13"/>
    <tableColumn id="2" xr3:uid="{344C071F-8915-4FB5-8FEB-DD5DC1E8C938}" name="Date" dataDxfId="12"/>
    <tableColumn id="3" xr3:uid="{F48682E7-42CB-4BB9-9A46-69AB14A0F7D1}" name="Customer_ID" dataDxfId="11"/>
    <tableColumn id="4" xr3:uid="{DB989FC3-6052-4F56-A9CE-FC70DF817EBF}" name="Customer_Name" dataDxfId="10"/>
    <tableColumn id="5" xr3:uid="{3136B134-5E18-4E6D-AB6B-6131B245D2BC}" name="Product_ID" dataDxfId="9"/>
    <tableColumn id="6" xr3:uid="{2C19A0CD-67E5-4D4D-B2A9-7C3514DF8744}" name="Product_Name" dataDxfId="8"/>
    <tableColumn id="7" xr3:uid="{1AAADFA2-FCEB-40F8-8B93-148C03A0043D}" name="Category" dataDxfId="7"/>
    <tableColumn id="8" xr3:uid="{2CD7E107-1721-4988-8749-8150C1FD7BB4}" name="Quantity" dataDxfId="6"/>
    <tableColumn id="9" xr3:uid="{28124CE4-7EFC-410B-9ED9-9DB3F8AC1CE0}" name="Unit_Price" dataDxfId="5"/>
    <tableColumn id="10" xr3:uid="{A3B2A6AF-839F-4A3D-A8B0-89F287C5AE5E}" name="Payment_Method" dataDxfId="4"/>
    <tableColumn id="11" xr3:uid="{C0DB8F58-E499-461A-B642-CD4EBC5AFBE4}" name="Region" dataDxfId="3"/>
    <tableColumn id="12" xr3:uid="{7B19390A-E1EF-4409-8B9E-1A0C7D838CF0}" name="Customer_Segment" dataDxfId="2"/>
    <tableColumn id="13" xr3:uid="{B80115E4-D1FB-4641-829F-5D4C4103EE68}" name="Customer_Since" dataDxfId="1"/>
    <tableColumn id="14" xr3:uid="{D6968A1F-97C6-4FEA-B82E-B415682C1963}" name="Total_Amount" dataDxfId="0"/>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C3C9BBD5-7CD0-4AA6-A9CB-F20F31D28ECF}" sourceName="Date">
  <pivotTables>
    <pivotTable tabId="5" name="PivotTable3"/>
  </pivotTables>
  <state minimalRefreshVersion="6" lastRefreshVersion="6" pivotCacheId="1777165630" filterType="unknown">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8E1D88FC-DD61-4046-9D5B-FCCF54D96E22}" cache="NativeTimeline_Date" caption="Date" level="2" selectionLevel="2" scrollPosition="2025-06-0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616DAD89-FBC1-4894-BE86-058334356045}" cache="NativeTimeline_Date" caption="Date" level="2" selectionLevel="2" scrollPosition="2025-06-06T00:00:00"/>
</timeline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11/relationships/timeline" Target="../timelines/timeline1.xml"/><Relationship Id="rId5" Type="http://schemas.microsoft.com/office/2007/relationships/slicer" Target="../slicers/slicer1.xm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175A3-4358-470B-AD94-35886CF9719A}">
  <dimension ref="A1:I18"/>
  <sheetViews>
    <sheetView workbookViewId="0">
      <selection activeCell="D11" sqref="D11"/>
    </sheetView>
  </sheetViews>
  <sheetFormatPr defaultColWidth="13.109375" defaultRowHeight="14.4" x14ac:dyDescent="0.3"/>
  <sheetData>
    <row r="1" spans="1:9" x14ac:dyDescent="0.3">
      <c r="A1" s="34" t="s">
        <v>411</v>
      </c>
      <c r="B1" s="34"/>
    </row>
    <row r="2" spans="1:9" ht="15" thickBot="1" x14ac:dyDescent="0.35"/>
    <row r="3" spans="1:9" x14ac:dyDescent="0.3">
      <c r="A3" s="4" t="s">
        <v>412</v>
      </c>
      <c r="B3" s="4"/>
    </row>
    <row r="4" spans="1:9" x14ac:dyDescent="0.3">
      <c r="A4" s="1" t="s">
        <v>413</v>
      </c>
      <c r="B4" s="1">
        <v>6.3401733319158687E-2</v>
      </c>
    </row>
    <row r="5" spans="1:9" x14ac:dyDescent="0.3">
      <c r="A5" s="1" t="s">
        <v>414</v>
      </c>
      <c r="B5" s="1">
        <v>4.0197797878737162E-3</v>
      </c>
    </row>
    <row r="6" spans="1:9" x14ac:dyDescent="0.3">
      <c r="A6" s="1" t="s">
        <v>415</v>
      </c>
      <c r="B6" s="1">
        <v>3.7305128248195239E-6</v>
      </c>
    </row>
    <row r="7" spans="1:9" x14ac:dyDescent="0.3">
      <c r="A7" s="1" t="s">
        <v>416</v>
      </c>
      <c r="B7" s="1">
        <v>274.82798007728331</v>
      </c>
    </row>
    <row r="8" spans="1:9" ht="15" thickBot="1" x14ac:dyDescent="0.35">
      <c r="A8" s="2" t="s">
        <v>417</v>
      </c>
      <c r="B8" s="2">
        <v>250</v>
      </c>
    </row>
    <row r="10" spans="1:9" ht="15" thickBot="1" x14ac:dyDescent="0.35">
      <c r="A10" t="s">
        <v>418</v>
      </c>
    </row>
    <row r="11" spans="1:9" x14ac:dyDescent="0.3">
      <c r="A11" s="3"/>
      <c r="B11" s="3" t="s">
        <v>423</v>
      </c>
      <c r="C11" s="3" t="s">
        <v>424</v>
      </c>
      <c r="D11" s="3" t="s">
        <v>425</v>
      </c>
      <c r="E11" s="3" t="s">
        <v>426</v>
      </c>
      <c r="F11" s="3" t="s">
        <v>427</v>
      </c>
    </row>
    <row r="12" spans="1:9" x14ac:dyDescent="0.3">
      <c r="A12" s="1" t="s">
        <v>419</v>
      </c>
      <c r="B12" s="1">
        <v>1</v>
      </c>
      <c r="C12" s="1">
        <v>75600.578926742077</v>
      </c>
      <c r="D12" s="1">
        <v>75600.578926742077</v>
      </c>
      <c r="E12" s="1">
        <v>1.000928901158658</v>
      </c>
      <c r="F12" s="1">
        <v>0.31806100169782614</v>
      </c>
    </row>
    <row r="13" spans="1:9" x14ac:dyDescent="0.3">
      <c r="A13" s="1" t="s">
        <v>420</v>
      </c>
      <c r="B13" s="1">
        <v>248</v>
      </c>
      <c r="C13" s="1">
        <v>18731543.821073189</v>
      </c>
      <c r="D13" s="1">
        <v>75530.41863335963</v>
      </c>
      <c r="E13" s="1"/>
      <c r="F13" s="1"/>
    </row>
    <row r="14" spans="1:9" ht="15" thickBot="1" x14ac:dyDescent="0.35">
      <c r="A14" s="2" t="s">
        <v>421</v>
      </c>
      <c r="B14" s="2">
        <v>249</v>
      </c>
      <c r="C14" s="2">
        <v>18807144.399999931</v>
      </c>
      <c r="D14" s="2"/>
      <c r="E14" s="2"/>
      <c r="F14" s="2"/>
    </row>
    <row r="15" spans="1:9" ht="15" thickBot="1" x14ac:dyDescent="0.35"/>
    <row r="16" spans="1:9" x14ac:dyDescent="0.3">
      <c r="A16" s="3"/>
      <c r="B16" s="3" t="s">
        <v>428</v>
      </c>
      <c r="C16" s="3" t="s">
        <v>416</v>
      </c>
      <c r="D16" s="3" t="s">
        <v>429</v>
      </c>
      <c r="E16" s="3" t="s">
        <v>430</v>
      </c>
      <c r="F16" s="3" t="s">
        <v>431</v>
      </c>
      <c r="G16" s="3" t="s">
        <v>432</v>
      </c>
      <c r="H16" s="3" t="s">
        <v>433</v>
      </c>
      <c r="I16" s="3" t="s">
        <v>434</v>
      </c>
    </row>
    <row r="17" spans="1:9" x14ac:dyDescent="0.3">
      <c r="A17" s="1" t="s">
        <v>422</v>
      </c>
      <c r="B17" s="1">
        <v>257.40956652673032</v>
      </c>
      <c r="C17" s="1">
        <v>42.919376144239536</v>
      </c>
      <c r="D17" s="1">
        <v>5.9975141684644173</v>
      </c>
      <c r="E17" s="1">
        <v>7.0449793274525731E-9</v>
      </c>
      <c r="F17" s="1">
        <v>172.87660820421519</v>
      </c>
      <c r="G17" s="1">
        <v>341.94252484924544</v>
      </c>
      <c r="H17" s="1">
        <v>172.87660820421519</v>
      </c>
      <c r="I17" s="1">
        <v>341.94252484924544</v>
      </c>
    </row>
    <row r="18" spans="1:9" ht="15" thickBot="1" x14ac:dyDescent="0.35">
      <c r="A18" s="2" t="s">
        <v>435</v>
      </c>
      <c r="B18" s="2">
        <v>13.034672467885049</v>
      </c>
      <c r="C18" s="2">
        <v>13.028622721084513</v>
      </c>
      <c r="D18" s="2">
        <v>1.0004643427728355</v>
      </c>
      <c r="E18" s="2">
        <v>0.31806100169753099</v>
      </c>
      <c r="F18" s="2">
        <v>-12.626185643842867</v>
      </c>
      <c r="G18" s="2">
        <v>38.695530579612964</v>
      </c>
      <c r="H18" s="2">
        <v>-12.626185643842867</v>
      </c>
      <c r="I18" s="2">
        <v>38.695530579612964</v>
      </c>
    </row>
  </sheetData>
  <mergeCells count="1">
    <mergeCell ref="A1:B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C05DB-7459-48E2-A2FE-CA652768AB69}">
  <dimension ref="A1:AB251"/>
  <sheetViews>
    <sheetView topLeftCell="T1" zoomScale="84" zoomScaleNormal="108" workbookViewId="0">
      <selection activeCell="AB2" sqref="AB2"/>
    </sheetView>
  </sheetViews>
  <sheetFormatPr defaultColWidth="19.5546875" defaultRowHeight="18" customHeight="1" x14ac:dyDescent="0.3"/>
  <cols>
    <col min="12" max="12" width="21" customWidth="1"/>
    <col min="19" max="19" width="19.5546875" customWidth="1"/>
    <col min="24" max="24" width="19.44140625" customWidth="1"/>
  </cols>
  <sheetData>
    <row r="1" spans="1:28" ht="18" customHeight="1" x14ac:dyDescent="0.3">
      <c r="A1" s="12" t="s">
        <v>0</v>
      </c>
      <c r="B1" s="13" t="s">
        <v>1</v>
      </c>
      <c r="C1" s="13" t="s">
        <v>2</v>
      </c>
      <c r="D1" s="13" t="s">
        <v>3</v>
      </c>
      <c r="E1" s="13" t="s">
        <v>4</v>
      </c>
      <c r="F1" s="13" t="s">
        <v>5</v>
      </c>
      <c r="G1" s="13" t="s">
        <v>6</v>
      </c>
      <c r="H1" s="13" t="s">
        <v>7</v>
      </c>
      <c r="I1" s="13" t="s">
        <v>8</v>
      </c>
      <c r="J1" s="13" t="s">
        <v>9</v>
      </c>
      <c r="K1" s="13" t="s">
        <v>10</v>
      </c>
      <c r="L1" s="13" t="s">
        <v>11</v>
      </c>
      <c r="M1" s="13" t="s">
        <v>12</v>
      </c>
      <c r="N1" s="14" t="s">
        <v>13</v>
      </c>
      <c r="O1" s="10" t="s">
        <v>399</v>
      </c>
      <c r="P1" s="9" t="s">
        <v>401</v>
      </c>
      <c r="Q1" s="35" t="s">
        <v>407</v>
      </c>
      <c r="R1" s="35"/>
      <c r="S1" s="31" t="s">
        <v>444</v>
      </c>
      <c r="T1" s="30" t="s">
        <v>451</v>
      </c>
      <c r="U1" s="9" t="s">
        <v>409</v>
      </c>
      <c r="V1" s="30" t="s">
        <v>445</v>
      </c>
      <c r="W1" s="36" t="s">
        <v>446</v>
      </c>
      <c r="X1" s="37"/>
      <c r="Y1" s="30" t="s">
        <v>447</v>
      </c>
      <c r="Z1" s="30" t="s">
        <v>448</v>
      </c>
      <c r="AA1" s="9" t="s">
        <v>449</v>
      </c>
      <c r="AB1" s="30" t="s">
        <v>450</v>
      </c>
    </row>
    <row r="2" spans="1:28" ht="18" customHeight="1" x14ac:dyDescent="0.3">
      <c r="A2" s="15" t="s">
        <v>14</v>
      </c>
      <c r="B2" s="16">
        <v>45393</v>
      </c>
      <c r="C2" s="8" t="s">
        <v>15</v>
      </c>
      <c r="D2" s="8" t="s">
        <v>16</v>
      </c>
      <c r="E2" s="8" t="s">
        <v>17</v>
      </c>
      <c r="F2" s="8" t="s">
        <v>18</v>
      </c>
      <c r="G2" s="8" t="s">
        <v>19</v>
      </c>
      <c r="H2" s="17">
        <v>3</v>
      </c>
      <c r="I2" s="17">
        <v>249.99</v>
      </c>
      <c r="J2" s="8" t="s">
        <v>20</v>
      </c>
      <c r="K2" s="8" t="s">
        <v>21</v>
      </c>
      <c r="L2" s="8" t="s">
        <v>22</v>
      </c>
      <c r="M2" s="16">
        <v>44425</v>
      </c>
      <c r="N2" s="18">
        <v>749.97</v>
      </c>
      <c r="O2" s="11">
        <f ca="1">TODAY()</f>
        <v>46074</v>
      </c>
      <c r="P2" s="26" t="s">
        <v>402</v>
      </c>
      <c r="Q2" s="27" t="s">
        <v>7</v>
      </c>
      <c r="R2" s="27">
        <v>500</v>
      </c>
      <c r="S2" s="27">
        <f>SUM(H2:H251)</f>
        <v>753</v>
      </c>
      <c r="T2" s="27">
        <f>SUM(I2:I251)</f>
        <v>74167.500000000015</v>
      </c>
      <c r="U2" s="26">
        <f>SUM(N2:N251)</f>
        <v>229192.47000000032</v>
      </c>
      <c r="V2" s="27">
        <f>COUNTIF($F:$F,F2)</f>
        <v>26</v>
      </c>
      <c r="W2" s="38" t="str">
        <f>INDEX(F:F,MATCH(MAX(V:V),V:V,0))</f>
        <v>Bookshelf</v>
      </c>
      <c r="X2" s="39"/>
      <c r="Y2" s="28" t="s">
        <v>16</v>
      </c>
      <c r="Z2" s="28" t="s">
        <v>113</v>
      </c>
      <c r="AA2" s="26" t="str">
        <f>IF(COUNTIF(Y2:Y25,Z2)&gt;0,Z2,"-")</f>
        <v>-</v>
      </c>
      <c r="AB2" s="27" t="str">
        <f>UPPER(LEFT(D2,1)&amp;MID(D2,FIND(" ",D2)+1,1))</f>
        <v>PB</v>
      </c>
    </row>
    <row r="3" spans="1:28" ht="18" customHeight="1" x14ac:dyDescent="0.3">
      <c r="A3" s="15" t="s">
        <v>23</v>
      </c>
      <c r="B3" s="16">
        <v>45396</v>
      </c>
      <c r="C3" s="8" t="s">
        <v>24</v>
      </c>
      <c r="D3" s="8" t="s">
        <v>25</v>
      </c>
      <c r="E3" s="8" t="s">
        <v>17</v>
      </c>
      <c r="F3" s="8" t="s">
        <v>18</v>
      </c>
      <c r="G3" s="8" t="s">
        <v>19</v>
      </c>
      <c r="H3" s="17">
        <v>3</v>
      </c>
      <c r="I3" s="17">
        <v>249.99</v>
      </c>
      <c r="J3" s="8" t="s">
        <v>26</v>
      </c>
      <c r="K3" s="8" t="s">
        <v>21</v>
      </c>
      <c r="L3" s="8" t="s">
        <v>27</v>
      </c>
      <c r="M3" s="16">
        <v>44575</v>
      </c>
      <c r="N3" s="18">
        <v>749.97</v>
      </c>
      <c r="P3" s="26" t="s">
        <v>403</v>
      </c>
      <c r="Q3" s="27" t="s">
        <v>408</v>
      </c>
      <c r="R3" s="27">
        <v>555</v>
      </c>
      <c r="V3" s="27">
        <f t="shared" ref="V3:V66" si="0">COUNTIF($F:$F,F3)</f>
        <v>26</v>
      </c>
      <c r="Y3" s="28" t="s">
        <v>25</v>
      </c>
      <c r="Z3" s="28" t="s">
        <v>100</v>
      </c>
      <c r="AA3" s="26" t="str">
        <f t="shared" ref="AA3:AA25" si="1">IF(COUNTIF(Y3:Y26,Z3)&gt;0,Z3,"-")</f>
        <v>Patricia Moore</v>
      </c>
      <c r="AB3" s="27" t="str">
        <f t="shared" ref="AB3:AB66" si="2">UPPER(LEFT(D3,1)&amp;MID(D3,FIND(" ",D3)+1,1))</f>
        <v>JJ</v>
      </c>
    </row>
    <row r="4" spans="1:28" ht="18" customHeight="1" x14ac:dyDescent="0.3">
      <c r="A4" s="15" t="s">
        <v>28</v>
      </c>
      <c r="B4" s="16">
        <v>45399</v>
      </c>
      <c r="C4" s="8" t="s">
        <v>29</v>
      </c>
      <c r="D4" s="8" t="s">
        <v>30</v>
      </c>
      <c r="E4" s="8" t="s">
        <v>31</v>
      </c>
      <c r="F4" s="8" t="s">
        <v>32</v>
      </c>
      <c r="G4" s="8" t="s">
        <v>33</v>
      </c>
      <c r="H4" s="17">
        <v>3</v>
      </c>
      <c r="I4" s="17">
        <v>59.99</v>
      </c>
      <c r="J4" s="8" t="s">
        <v>34</v>
      </c>
      <c r="K4" s="8" t="s">
        <v>35</v>
      </c>
      <c r="L4" s="8" t="s">
        <v>36</v>
      </c>
      <c r="M4" s="16">
        <v>45262</v>
      </c>
      <c r="N4" s="18">
        <v>179.97</v>
      </c>
      <c r="Q4" s="27" t="s">
        <v>409</v>
      </c>
      <c r="R4" s="27">
        <f>R2*R3</f>
        <v>277500</v>
      </c>
      <c r="V4" s="27">
        <f t="shared" si="0"/>
        <v>29</v>
      </c>
      <c r="Y4" s="28" t="s">
        <v>30</v>
      </c>
      <c r="Z4" s="28" t="s">
        <v>121</v>
      </c>
      <c r="AA4" s="26" t="str">
        <f t="shared" si="1"/>
        <v>-</v>
      </c>
      <c r="AB4" s="27" t="str">
        <f t="shared" si="2"/>
        <v>KS</v>
      </c>
    </row>
    <row r="5" spans="1:28" ht="18" customHeight="1" x14ac:dyDescent="0.3">
      <c r="A5" s="15" t="s">
        <v>37</v>
      </c>
      <c r="B5" s="16">
        <v>45400</v>
      </c>
      <c r="C5" s="8" t="s">
        <v>38</v>
      </c>
      <c r="D5" s="8" t="s">
        <v>39</v>
      </c>
      <c r="E5" s="8" t="s">
        <v>31</v>
      </c>
      <c r="F5" s="8" t="s">
        <v>32</v>
      </c>
      <c r="G5" s="8" t="s">
        <v>33</v>
      </c>
      <c r="H5" s="17">
        <v>3</v>
      </c>
      <c r="I5" s="17">
        <v>59.99</v>
      </c>
      <c r="J5" s="8" t="s">
        <v>20</v>
      </c>
      <c r="K5" s="8" t="s">
        <v>40</v>
      </c>
      <c r="L5" s="8" t="s">
        <v>27</v>
      </c>
      <c r="M5" s="16">
        <v>45114</v>
      </c>
      <c r="N5" s="18">
        <v>179.97</v>
      </c>
      <c r="O5" s="29" t="s">
        <v>400</v>
      </c>
      <c r="V5" s="27">
        <f t="shared" si="0"/>
        <v>29</v>
      </c>
      <c r="Y5" s="28" t="s">
        <v>39</v>
      </c>
      <c r="Z5" s="28" t="s">
        <v>124</v>
      </c>
      <c r="AA5" s="26" t="str">
        <f t="shared" si="1"/>
        <v>-</v>
      </c>
      <c r="AB5" s="27" t="str">
        <f t="shared" si="2"/>
        <v>KB</v>
      </c>
    </row>
    <row r="6" spans="1:28" ht="18" customHeight="1" x14ac:dyDescent="0.3">
      <c r="A6" s="15" t="s">
        <v>41</v>
      </c>
      <c r="B6" s="16">
        <v>45400</v>
      </c>
      <c r="C6" s="8" t="s">
        <v>42</v>
      </c>
      <c r="D6" s="8" t="s">
        <v>43</v>
      </c>
      <c r="E6" s="8" t="s">
        <v>44</v>
      </c>
      <c r="F6" s="8" t="s">
        <v>45</v>
      </c>
      <c r="G6" s="8" t="s">
        <v>46</v>
      </c>
      <c r="H6" s="17">
        <v>5</v>
      </c>
      <c r="I6" s="17">
        <v>149.99</v>
      </c>
      <c r="J6" s="8" t="s">
        <v>26</v>
      </c>
      <c r="K6" s="8" t="s">
        <v>40</v>
      </c>
      <c r="L6" s="8" t="s">
        <v>27</v>
      </c>
      <c r="M6" s="16">
        <v>45295</v>
      </c>
      <c r="N6" s="18">
        <v>749.95</v>
      </c>
      <c r="O6" s="24">
        <f ca="1">NOW()</f>
        <v>46074.6818375</v>
      </c>
      <c r="P6" s="30" t="s">
        <v>405</v>
      </c>
      <c r="V6" s="27">
        <f t="shared" si="0"/>
        <v>35</v>
      </c>
      <c r="Y6" s="28" t="s">
        <v>43</v>
      </c>
      <c r="Z6" s="28" t="s">
        <v>56</v>
      </c>
      <c r="AA6" s="26" t="str">
        <f t="shared" si="1"/>
        <v>Charles Allen</v>
      </c>
      <c r="AB6" s="27" t="str">
        <f t="shared" si="2"/>
        <v>MB</v>
      </c>
    </row>
    <row r="7" spans="1:28" ht="18" customHeight="1" x14ac:dyDescent="0.3">
      <c r="A7" s="15" t="s">
        <v>47</v>
      </c>
      <c r="B7" s="16">
        <v>45403</v>
      </c>
      <c r="C7" s="8" t="s">
        <v>48</v>
      </c>
      <c r="D7" s="8" t="s">
        <v>49</v>
      </c>
      <c r="E7" s="8" t="s">
        <v>31</v>
      </c>
      <c r="F7" s="8" t="s">
        <v>32</v>
      </c>
      <c r="G7" s="8" t="s">
        <v>33</v>
      </c>
      <c r="H7" s="17">
        <v>2</v>
      </c>
      <c r="I7" s="17">
        <v>59.99</v>
      </c>
      <c r="J7" s="8" t="s">
        <v>20</v>
      </c>
      <c r="K7" s="8" t="s">
        <v>50</v>
      </c>
      <c r="L7" s="8" t="s">
        <v>36</v>
      </c>
      <c r="M7" s="16">
        <v>44746</v>
      </c>
      <c r="N7" s="18">
        <v>119.98</v>
      </c>
      <c r="P7" s="27" t="s">
        <v>406</v>
      </c>
      <c r="V7" s="27">
        <f t="shared" si="0"/>
        <v>29</v>
      </c>
      <c r="Y7" s="28" t="s">
        <v>49</v>
      </c>
      <c r="Z7" s="28" t="s">
        <v>130</v>
      </c>
      <c r="AA7" s="26" t="str">
        <f t="shared" si="1"/>
        <v>-</v>
      </c>
      <c r="AB7" s="27" t="str">
        <f t="shared" si="2"/>
        <v>DN</v>
      </c>
    </row>
    <row r="8" spans="1:28" ht="18" customHeight="1" x14ac:dyDescent="0.3">
      <c r="A8" s="15" t="s">
        <v>51</v>
      </c>
      <c r="B8" s="16">
        <v>45403</v>
      </c>
      <c r="C8" s="8" t="s">
        <v>48</v>
      </c>
      <c r="D8" s="8" t="s">
        <v>49</v>
      </c>
      <c r="E8" s="8" t="s">
        <v>52</v>
      </c>
      <c r="F8" s="8" t="s">
        <v>53</v>
      </c>
      <c r="G8" s="8" t="s">
        <v>19</v>
      </c>
      <c r="H8" s="17">
        <v>5</v>
      </c>
      <c r="I8" s="17">
        <v>149.99</v>
      </c>
      <c r="J8" s="8" t="s">
        <v>26</v>
      </c>
      <c r="K8" s="8" t="s">
        <v>21</v>
      </c>
      <c r="L8" s="8" t="s">
        <v>36</v>
      </c>
      <c r="M8" s="16">
        <v>44418</v>
      </c>
      <c r="N8" s="18">
        <v>749.95</v>
      </c>
      <c r="P8" s="27" t="s">
        <v>403</v>
      </c>
      <c r="V8" s="27">
        <f t="shared" si="0"/>
        <v>16</v>
      </c>
      <c r="Y8" s="28" t="s">
        <v>49</v>
      </c>
      <c r="Z8" s="28" t="s">
        <v>133</v>
      </c>
      <c r="AA8" s="26" t="str">
        <f t="shared" si="1"/>
        <v>-</v>
      </c>
      <c r="AB8" s="27" t="str">
        <f t="shared" si="2"/>
        <v>DN</v>
      </c>
    </row>
    <row r="9" spans="1:28" ht="18" customHeight="1" x14ac:dyDescent="0.3">
      <c r="A9" s="15" t="s">
        <v>54</v>
      </c>
      <c r="B9" s="16">
        <v>45403</v>
      </c>
      <c r="C9" s="8" t="s">
        <v>55</v>
      </c>
      <c r="D9" s="8" t="s">
        <v>56</v>
      </c>
      <c r="E9" s="8" t="s">
        <v>31</v>
      </c>
      <c r="F9" s="8" t="s">
        <v>32</v>
      </c>
      <c r="G9" s="8" t="s">
        <v>33</v>
      </c>
      <c r="H9" s="17">
        <v>3</v>
      </c>
      <c r="I9" s="17">
        <v>59.99</v>
      </c>
      <c r="J9" s="8" t="s">
        <v>57</v>
      </c>
      <c r="K9" s="8" t="s">
        <v>35</v>
      </c>
      <c r="L9" s="8" t="s">
        <v>22</v>
      </c>
      <c r="M9" s="16">
        <v>45007</v>
      </c>
      <c r="N9" s="18">
        <v>179.97</v>
      </c>
      <c r="Q9" s="35" t="s">
        <v>410</v>
      </c>
      <c r="R9" s="35"/>
      <c r="V9" s="27">
        <f t="shared" si="0"/>
        <v>29</v>
      </c>
      <c r="Y9" s="28" t="s">
        <v>56</v>
      </c>
      <c r="Z9" s="28" t="s">
        <v>30</v>
      </c>
      <c r="AA9" s="26" t="str">
        <f t="shared" si="1"/>
        <v>-</v>
      </c>
      <c r="AB9" s="27" t="str">
        <f t="shared" si="2"/>
        <v>CA</v>
      </c>
    </row>
    <row r="10" spans="1:28" ht="18" customHeight="1" x14ac:dyDescent="0.3">
      <c r="A10" s="15" t="s">
        <v>58</v>
      </c>
      <c r="B10" s="16">
        <v>45405</v>
      </c>
      <c r="C10" s="8" t="s">
        <v>59</v>
      </c>
      <c r="D10" s="8" t="s">
        <v>60</v>
      </c>
      <c r="E10" s="8" t="s">
        <v>61</v>
      </c>
      <c r="F10" s="8" t="s">
        <v>62</v>
      </c>
      <c r="G10" s="8" t="s">
        <v>19</v>
      </c>
      <c r="H10" s="17">
        <v>3</v>
      </c>
      <c r="I10" s="17">
        <v>899.99</v>
      </c>
      <c r="J10" s="8" t="s">
        <v>34</v>
      </c>
      <c r="K10" s="8" t="s">
        <v>63</v>
      </c>
      <c r="L10" s="8" t="s">
        <v>36</v>
      </c>
      <c r="M10" s="16">
        <v>45299</v>
      </c>
      <c r="N10" s="18">
        <v>2699.97</v>
      </c>
      <c r="O10" s="29" t="s">
        <v>404</v>
      </c>
      <c r="Q10" s="27" t="s">
        <v>7</v>
      </c>
      <c r="R10" s="27">
        <v>200</v>
      </c>
      <c r="V10" s="27">
        <f t="shared" si="0"/>
        <v>24</v>
      </c>
      <c r="Y10" s="28" t="s">
        <v>60</v>
      </c>
      <c r="Z10" s="28" t="s">
        <v>100</v>
      </c>
      <c r="AA10" s="26" t="str">
        <f t="shared" si="1"/>
        <v>Patricia Moore</v>
      </c>
      <c r="AB10" s="27" t="str">
        <f t="shared" si="2"/>
        <v>RT</v>
      </c>
    </row>
    <row r="11" spans="1:28" ht="18" customHeight="1" x14ac:dyDescent="0.3">
      <c r="A11" s="15" t="s">
        <v>64</v>
      </c>
      <c r="B11" s="16">
        <v>45408</v>
      </c>
      <c r="C11" s="8" t="s">
        <v>65</v>
      </c>
      <c r="D11" s="8" t="s">
        <v>66</v>
      </c>
      <c r="E11" s="8" t="s">
        <v>31</v>
      </c>
      <c r="F11" s="8" t="s">
        <v>32</v>
      </c>
      <c r="G11" s="8" t="s">
        <v>33</v>
      </c>
      <c r="H11" s="17">
        <v>3</v>
      </c>
      <c r="I11" s="17">
        <v>59.99</v>
      </c>
      <c r="J11" s="8" t="s">
        <v>20</v>
      </c>
      <c r="K11" s="8" t="s">
        <v>50</v>
      </c>
      <c r="L11" s="8" t="s">
        <v>27</v>
      </c>
      <c r="M11" s="16">
        <v>45207</v>
      </c>
      <c r="N11" s="18">
        <v>179.97</v>
      </c>
      <c r="O11" s="25">
        <f>EOMONTH(B2,0)</f>
        <v>45412</v>
      </c>
      <c r="Q11" s="27" t="s">
        <v>408</v>
      </c>
      <c r="R11" s="27">
        <v>2000</v>
      </c>
      <c r="V11" s="27">
        <f t="shared" si="0"/>
        <v>29</v>
      </c>
      <c r="Y11" s="28" t="s">
        <v>66</v>
      </c>
      <c r="Z11" s="28" t="s">
        <v>130</v>
      </c>
      <c r="AA11" s="26" t="str">
        <f t="shared" si="1"/>
        <v>-</v>
      </c>
      <c r="AB11" s="27" t="str">
        <f t="shared" si="2"/>
        <v>KH</v>
      </c>
    </row>
    <row r="12" spans="1:28" ht="18" customHeight="1" x14ac:dyDescent="0.3">
      <c r="A12" s="15" t="s">
        <v>67</v>
      </c>
      <c r="B12" s="16">
        <v>45408</v>
      </c>
      <c r="C12" s="8" t="s">
        <v>68</v>
      </c>
      <c r="D12" s="8" t="s">
        <v>69</v>
      </c>
      <c r="E12" s="8" t="s">
        <v>44</v>
      </c>
      <c r="F12" s="8" t="s">
        <v>45</v>
      </c>
      <c r="G12" s="8" t="s">
        <v>46</v>
      </c>
      <c r="H12" s="17">
        <v>1</v>
      </c>
      <c r="I12" s="17">
        <v>149.99</v>
      </c>
      <c r="J12" s="8" t="s">
        <v>26</v>
      </c>
      <c r="K12" s="8" t="s">
        <v>50</v>
      </c>
      <c r="L12" s="8" t="s">
        <v>36</v>
      </c>
      <c r="M12" s="16">
        <v>45103</v>
      </c>
      <c r="N12" s="18">
        <v>149.99</v>
      </c>
      <c r="Q12" s="27" t="s">
        <v>409</v>
      </c>
      <c r="R12" s="27">
        <f>R11*R10</f>
        <v>400000</v>
      </c>
      <c r="V12" s="27">
        <f t="shared" si="0"/>
        <v>35</v>
      </c>
      <c r="Y12" s="28" t="s">
        <v>69</v>
      </c>
      <c r="Z12" s="28" t="s">
        <v>139</v>
      </c>
      <c r="AA12" s="26" t="str">
        <f t="shared" si="1"/>
        <v>-</v>
      </c>
      <c r="AB12" s="27" t="str">
        <f t="shared" si="2"/>
        <v>SG</v>
      </c>
    </row>
    <row r="13" spans="1:28" ht="18" customHeight="1" x14ac:dyDescent="0.3">
      <c r="A13" s="15" t="s">
        <v>70</v>
      </c>
      <c r="B13" s="16">
        <v>45408</v>
      </c>
      <c r="C13" s="8" t="s">
        <v>38</v>
      </c>
      <c r="D13" s="8" t="s">
        <v>39</v>
      </c>
      <c r="E13" s="8" t="s">
        <v>44</v>
      </c>
      <c r="F13" s="8" t="s">
        <v>45</v>
      </c>
      <c r="G13" s="8" t="s">
        <v>46</v>
      </c>
      <c r="H13" s="17">
        <v>5</v>
      </c>
      <c r="I13" s="17">
        <v>149.99</v>
      </c>
      <c r="J13" s="8" t="s">
        <v>57</v>
      </c>
      <c r="K13" s="8" t="s">
        <v>40</v>
      </c>
      <c r="L13" s="8" t="s">
        <v>22</v>
      </c>
      <c r="M13" s="16">
        <v>44830</v>
      </c>
      <c r="N13" s="18">
        <v>749.95</v>
      </c>
      <c r="V13" s="27">
        <f t="shared" si="0"/>
        <v>35</v>
      </c>
      <c r="Y13" s="28" t="s">
        <v>39</v>
      </c>
      <c r="Z13" s="28" t="s">
        <v>142</v>
      </c>
      <c r="AA13" s="26" t="str">
        <f t="shared" si="1"/>
        <v>-</v>
      </c>
      <c r="AB13" s="27" t="str">
        <f t="shared" si="2"/>
        <v>KB</v>
      </c>
    </row>
    <row r="14" spans="1:28" ht="18" customHeight="1" x14ac:dyDescent="0.3">
      <c r="A14" s="15" t="s">
        <v>71</v>
      </c>
      <c r="B14" s="16">
        <v>45408</v>
      </c>
      <c r="C14" s="8" t="s">
        <v>72</v>
      </c>
      <c r="D14" s="8" t="s">
        <v>73</v>
      </c>
      <c r="E14" s="8" t="s">
        <v>44</v>
      </c>
      <c r="F14" s="8" t="s">
        <v>45</v>
      </c>
      <c r="G14" s="8" t="s">
        <v>46</v>
      </c>
      <c r="H14" s="17">
        <v>3</v>
      </c>
      <c r="I14" s="17">
        <v>149.99</v>
      </c>
      <c r="J14" s="8" t="s">
        <v>20</v>
      </c>
      <c r="K14" s="8" t="s">
        <v>40</v>
      </c>
      <c r="L14" s="8" t="s">
        <v>27</v>
      </c>
      <c r="M14" s="16">
        <v>44806</v>
      </c>
      <c r="N14" s="18">
        <v>449.97</v>
      </c>
      <c r="V14" s="27">
        <f t="shared" si="0"/>
        <v>35</v>
      </c>
      <c r="Y14" s="28" t="s">
        <v>73</v>
      </c>
      <c r="Z14" s="28" t="s">
        <v>145</v>
      </c>
      <c r="AA14" s="26" t="str">
        <f t="shared" si="1"/>
        <v>-</v>
      </c>
      <c r="AB14" s="27" t="str">
        <f t="shared" si="2"/>
        <v>PR</v>
      </c>
    </row>
    <row r="15" spans="1:28" ht="18" customHeight="1" x14ac:dyDescent="0.3">
      <c r="A15" s="15" t="s">
        <v>74</v>
      </c>
      <c r="B15" s="16">
        <v>45409</v>
      </c>
      <c r="C15" s="8" t="s">
        <v>75</v>
      </c>
      <c r="D15" s="8" t="s">
        <v>76</v>
      </c>
      <c r="E15" s="8" t="s">
        <v>31</v>
      </c>
      <c r="F15" s="8" t="s">
        <v>32</v>
      </c>
      <c r="G15" s="8" t="s">
        <v>33</v>
      </c>
      <c r="H15" s="17">
        <v>3</v>
      </c>
      <c r="I15" s="17">
        <v>59.99</v>
      </c>
      <c r="J15" s="8" t="s">
        <v>26</v>
      </c>
      <c r="K15" s="8" t="s">
        <v>40</v>
      </c>
      <c r="L15" s="8" t="s">
        <v>36</v>
      </c>
      <c r="M15" s="16">
        <v>45351</v>
      </c>
      <c r="N15" s="18">
        <v>179.97</v>
      </c>
      <c r="V15" s="27">
        <f t="shared" si="0"/>
        <v>29</v>
      </c>
      <c r="Y15" s="28" t="s">
        <v>76</v>
      </c>
      <c r="Z15" s="28" t="s">
        <v>148</v>
      </c>
      <c r="AA15" s="26" t="str">
        <f t="shared" si="1"/>
        <v>-</v>
      </c>
      <c r="AB15" s="27" t="str">
        <f t="shared" si="2"/>
        <v>DG</v>
      </c>
    </row>
    <row r="16" spans="1:28" ht="18" customHeight="1" x14ac:dyDescent="0.3">
      <c r="A16" s="15" t="s">
        <v>77</v>
      </c>
      <c r="B16" s="16">
        <v>45409</v>
      </c>
      <c r="C16" s="8" t="s">
        <v>78</v>
      </c>
      <c r="D16" s="8" t="s">
        <v>79</v>
      </c>
      <c r="E16" s="8" t="s">
        <v>80</v>
      </c>
      <c r="F16" s="8" t="s">
        <v>80</v>
      </c>
      <c r="G16" s="8" t="s">
        <v>19</v>
      </c>
      <c r="H16" s="17">
        <v>3</v>
      </c>
      <c r="I16" s="17">
        <v>699.99</v>
      </c>
      <c r="J16" s="8" t="s">
        <v>26</v>
      </c>
      <c r="K16" s="8" t="s">
        <v>50</v>
      </c>
      <c r="L16" s="8" t="s">
        <v>22</v>
      </c>
      <c r="M16" s="16">
        <v>44577</v>
      </c>
      <c r="N16" s="18">
        <v>2099.9699999999998</v>
      </c>
      <c r="V16" s="27">
        <f t="shared" si="0"/>
        <v>1</v>
      </c>
      <c r="Y16" s="28" t="s">
        <v>79</v>
      </c>
      <c r="Z16" s="28" t="s">
        <v>151</v>
      </c>
      <c r="AA16" s="26" t="str">
        <f t="shared" si="1"/>
        <v>-</v>
      </c>
      <c r="AB16" s="27" t="str">
        <f t="shared" si="2"/>
        <v>MR</v>
      </c>
    </row>
    <row r="17" spans="1:28" ht="18" customHeight="1" x14ac:dyDescent="0.3">
      <c r="A17" s="15" t="s">
        <v>82</v>
      </c>
      <c r="B17" s="16">
        <v>45409</v>
      </c>
      <c r="C17" s="8" t="s">
        <v>83</v>
      </c>
      <c r="D17" s="8" t="s">
        <v>84</v>
      </c>
      <c r="E17" s="8" t="s">
        <v>61</v>
      </c>
      <c r="F17" s="8" t="s">
        <v>62</v>
      </c>
      <c r="G17" s="8" t="s">
        <v>19</v>
      </c>
      <c r="H17" s="17">
        <v>1</v>
      </c>
      <c r="I17" s="17">
        <v>899.99</v>
      </c>
      <c r="J17" s="8" t="s">
        <v>57</v>
      </c>
      <c r="K17" s="8" t="s">
        <v>40</v>
      </c>
      <c r="L17" s="8" t="s">
        <v>36</v>
      </c>
      <c r="M17" s="16">
        <v>44920</v>
      </c>
      <c r="N17" s="18">
        <v>899.99</v>
      </c>
      <c r="V17" s="27">
        <f t="shared" si="0"/>
        <v>24</v>
      </c>
      <c r="Y17" s="28" t="s">
        <v>84</v>
      </c>
      <c r="Z17" s="28" t="s">
        <v>56</v>
      </c>
      <c r="AA17" s="26" t="str">
        <f t="shared" si="1"/>
        <v>-</v>
      </c>
      <c r="AB17" s="27" t="str">
        <f t="shared" si="2"/>
        <v>GA</v>
      </c>
    </row>
    <row r="18" spans="1:28" ht="18" customHeight="1" x14ac:dyDescent="0.3">
      <c r="A18" s="15" t="s">
        <v>85</v>
      </c>
      <c r="B18" s="16">
        <v>45410</v>
      </c>
      <c r="C18" s="8" t="s">
        <v>86</v>
      </c>
      <c r="D18" s="8" t="s">
        <v>87</v>
      </c>
      <c r="E18" s="8" t="s">
        <v>44</v>
      </c>
      <c r="F18" s="8" t="s">
        <v>45</v>
      </c>
      <c r="G18" s="8" t="s">
        <v>46</v>
      </c>
      <c r="H18" s="17">
        <v>4</v>
      </c>
      <c r="I18" s="17">
        <v>149.99</v>
      </c>
      <c r="J18" s="8" t="s">
        <v>57</v>
      </c>
      <c r="K18" s="8" t="s">
        <v>40</v>
      </c>
      <c r="L18" s="8" t="s">
        <v>27</v>
      </c>
      <c r="M18" s="16">
        <v>45374</v>
      </c>
      <c r="N18" s="18">
        <v>599.96</v>
      </c>
      <c r="V18" s="27">
        <f t="shared" si="0"/>
        <v>35</v>
      </c>
      <c r="Y18" s="28" t="s">
        <v>87</v>
      </c>
      <c r="Z18" s="28" t="s">
        <v>155</v>
      </c>
      <c r="AA18" s="26" t="str">
        <f t="shared" si="1"/>
        <v>-</v>
      </c>
      <c r="AB18" s="27" t="str">
        <f t="shared" si="2"/>
        <v>MC</v>
      </c>
    </row>
    <row r="19" spans="1:28" ht="18" customHeight="1" x14ac:dyDescent="0.3">
      <c r="A19" s="15" t="s">
        <v>88</v>
      </c>
      <c r="B19" s="16">
        <v>45410</v>
      </c>
      <c r="C19" s="8" t="s">
        <v>89</v>
      </c>
      <c r="D19" s="8" t="s">
        <v>90</v>
      </c>
      <c r="E19" s="8" t="s">
        <v>80</v>
      </c>
      <c r="F19" s="8" t="s">
        <v>81</v>
      </c>
      <c r="G19" s="8" t="s">
        <v>19</v>
      </c>
      <c r="H19" s="17">
        <v>2</v>
      </c>
      <c r="I19" s="17">
        <v>699.99</v>
      </c>
      <c r="J19" s="8" t="s">
        <v>20</v>
      </c>
      <c r="K19" s="8" t="s">
        <v>40</v>
      </c>
      <c r="L19" s="8" t="s">
        <v>22</v>
      </c>
      <c r="M19" s="16">
        <v>44781</v>
      </c>
      <c r="N19" s="18">
        <v>1399.98</v>
      </c>
      <c r="V19" s="27">
        <f t="shared" si="0"/>
        <v>30</v>
      </c>
      <c r="Y19" s="28" t="s">
        <v>90</v>
      </c>
      <c r="Z19" s="28" t="s">
        <v>25</v>
      </c>
      <c r="AA19" s="26" t="str">
        <f t="shared" si="1"/>
        <v>-</v>
      </c>
      <c r="AB19" s="27" t="str">
        <f t="shared" si="2"/>
        <v>MG</v>
      </c>
    </row>
    <row r="20" spans="1:28" ht="18" customHeight="1" x14ac:dyDescent="0.3">
      <c r="A20" s="15" t="s">
        <v>91</v>
      </c>
      <c r="B20" s="16">
        <v>45410</v>
      </c>
      <c r="C20" s="8" t="s">
        <v>86</v>
      </c>
      <c r="D20" s="8" t="s">
        <v>87</v>
      </c>
      <c r="E20" s="8" t="s">
        <v>61</v>
      </c>
      <c r="F20" s="8" t="s">
        <v>62</v>
      </c>
      <c r="G20" s="8" t="s">
        <v>19</v>
      </c>
      <c r="H20" s="17">
        <v>4</v>
      </c>
      <c r="I20" s="17">
        <v>899.99</v>
      </c>
      <c r="J20" s="8" t="s">
        <v>26</v>
      </c>
      <c r="K20" s="8" t="s">
        <v>50</v>
      </c>
      <c r="L20" s="8" t="s">
        <v>36</v>
      </c>
      <c r="M20" s="16">
        <v>45327</v>
      </c>
      <c r="N20" s="18">
        <v>3599.96</v>
      </c>
      <c r="V20" s="27">
        <f t="shared" si="0"/>
        <v>24</v>
      </c>
      <c r="Y20" s="28" t="s">
        <v>87</v>
      </c>
      <c r="Z20" s="28" t="s">
        <v>159</v>
      </c>
      <c r="AA20" s="26" t="str">
        <f t="shared" si="1"/>
        <v>-</v>
      </c>
      <c r="AB20" s="27" t="str">
        <f t="shared" si="2"/>
        <v>MC</v>
      </c>
    </row>
    <row r="21" spans="1:28" ht="18" customHeight="1" x14ac:dyDescent="0.3">
      <c r="A21" s="15" t="s">
        <v>92</v>
      </c>
      <c r="B21" s="16">
        <v>45410</v>
      </c>
      <c r="C21" s="8" t="s">
        <v>93</v>
      </c>
      <c r="D21" s="8" t="s">
        <v>94</v>
      </c>
      <c r="E21" s="8" t="s">
        <v>17</v>
      </c>
      <c r="F21" s="8" t="s">
        <v>18</v>
      </c>
      <c r="G21" s="8" t="s">
        <v>19</v>
      </c>
      <c r="H21" s="17">
        <v>3</v>
      </c>
      <c r="I21" s="17">
        <v>249.99</v>
      </c>
      <c r="J21" s="8" t="s">
        <v>26</v>
      </c>
      <c r="K21" s="8" t="s">
        <v>40</v>
      </c>
      <c r="L21" s="8" t="s">
        <v>27</v>
      </c>
      <c r="M21" s="16">
        <v>45224</v>
      </c>
      <c r="N21" s="18">
        <v>749.97</v>
      </c>
      <c r="V21" s="27">
        <f t="shared" si="0"/>
        <v>26</v>
      </c>
      <c r="Y21" s="28" t="s">
        <v>94</v>
      </c>
      <c r="Z21" s="28" t="s">
        <v>43</v>
      </c>
      <c r="AA21" s="26" t="str">
        <f t="shared" si="1"/>
        <v>-</v>
      </c>
      <c r="AB21" s="27" t="str">
        <f t="shared" si="2"/>
        <v>VS</v>
      </c>
    </row>
    <row r="22" spans="1:28" ht="18" customHeight="1" x14ac:dyDescent="0.3">
      <c r="A22" s="15" t="s">
        <v>95</v>
      </c>
      <c r="B22" s="16">
        <v>45412</v>
      </c>
      <c r="C22" s="8" t="s">
        <v>96</v>
      </c>
      <c r="D22" s="8" t="s">
        <v>97</v>
      </c>
      <c r="E22" s="8" t="s">
        <v>80</v>
      </c>
      <c r="F22" s="8" t="s">
        <v>81</v>
      </c>
      <c r="G22" s="8" t="s">
        <v>19</v>
      </c>
      <c r="H22" s="17">
        <v>5</v>
      </c>
      <c r="I22" s="17">
        <v>699.99</v>
      </c>
      <c r="J22" s="8" t="s">
        <v>20</v>
      </c>
      <c r="K22" s="8" t="s">
        <v>50</v>
      </c>
      <c r="L22" s="8" t="s">
        <v>22</v>
      </c>
      <c r="M22" s="16">
        <v>45167</v>
      </c>
      <c r="N22" s="18">
        <v>3499.95</v>
      </c>
      <c r="V22" s="27">
        <f t="shared" si="0"/>
        <v>30</v>
      </c>
      <c r="Y22" s="28" t="s">
        <v>97</v>
      </c>
      <c r="Z22" s="28" t="s">
        <v>163</v>
      </c>
      <c r="AA22" s="26" t="str">
        <f t="shared" si="1"/>
        <v>-</v>
      </c>
      <c r="AB22" s="27" t="str">
        <f t="shared" si="2"/>
        <v>BY</v>
      </c>
    </row>
    <row r="23" spans="1:28" ht="18" customHeight="1" x14ac:dyDescent="0.3">
      <c r="A23" s="15" t="s">
        <v>98</v>
      </c>
      <c r="B23" s="16">
        <v>45413</v>
      </c>
      <c r="C23" s="8" t="s">
        <v>99</v>
      </c>
      <c r="D23" s="8" t="s">
        <v>100</v>
      </c>
      <c r="E23" s="8" t="s">
        <v>80</v>
      </c>
      <c r="F23" s="8" t="s">
        <v>81</v>
      </c>
      <c r="G23" s="8" t="s">
        <v>19</v>
      </c>
      <c r="H23" s="17">
        <v>4</v>
      </c>
      <c r="I23" s="17">
        <v>699.99</v>
      </c>
      <c r="J23" s="8" t="s">
        <v>20</v>
      </c>
      <c r="K23" s="8" t="s">
        <v>63</v>
      </c>
      <c r="L23" s="8" t="s">
        <v>36</v>
      </c>
      <c r="M23" s="16">
        <v>44409</v>
      </c>
      <c r="N23" s="18">
        <v>2799.96</v>
      </c>
      <c r="V23" s="27">
        <f t="shared" si="0"/>
        <v>30</v>
      </c>
      <c r="Y23" s="28" t="s">
        <v>100</v>
      </c>
      <c r="Z23" s="28" t="s">
        <v>130</v>
      </c>
      <c r="AA23" s="26" t="str">
        <f t="shared" si="1"/>
        <v>-</v>
      </c>
      <c r="AB23" s="27" t="str">
        <f t="shared" si="2"/>
        <v>PM</v>
      </c>
    </row>
    <row r="24" spans="1:28" ht="18" customHeight="1" x14ac:dyDescent="0.3">
      <c r="A24" s="15" t="s">
        <v>101</v>
      </c>
      <c r="B24" s="16">
        <v>45415</v>
      </c>
      <c r="C24" s="8" t="s">
        <v>102</v>
      </c>
      <c r="D24" s="8" t="s">
        <v>103</v>
      </c>
      <c r="E24" s="8" t="s">
        <v>17</v>
      </c>
      <c r="F24" s="8" t="s">
        <v>18</v>
      </c>
      <c r="G24" s="8" t="s">
        <v>19</v>
      </c>
      <c r="H24" s="17">
        <v>4</v>
      </c>
      <c r="I24" s="17">
        <v>249.99</v>
      </c>
      <c r="J24" s="8" t="s">
        <v>34</v>
      </c>
      <c r="K24" s="8" t="s">
        <v>40</v>
      </c>
      <c r="L24" s="8" t="s">
        <v>36</v>
      </c>
      <c r="M24" s="16">
        <v>44468</v>
      </c>
      <c r="N24" s="18">
        <v>999.96</v>
      </c>
      <c r="V24" s="27">
        <f t="shared" si="0"/>
        <v>26</v>
      </c>
      <c r="Y24" s="28" t="s">
        <v>103</v>
      </c>
      <c r="Z24" s="28" t="s">
        <v>100</v>
      </c>
      <c r="AA24" s="26" t="str">
        <f t="shared" si="1"/>
        <v>-</v>
      </c>
      <c r="AB24" s="27" t="str">
        <f t="shared" si="2"/>
        <v>CP</v>
      </c>
    </row>
    <row r="25" spans="1:28" ht="18" customHeight="1" x14ac:dyDescent="0.3">
      <c r="A25" s="15" t="s">
        <v>104</v>
      </c>
      <c r="B25" s="16">
        <v>45416</v>
      </c>
      <c r="C25" s="8" t="s">
        <v>86</v>
      </c>
      <c r="D25" s="8" t="s">
        <v>87</v>
      </c>
      <c r="E25" s="8" t="s">
        <v>105</v>
      </c>
      <c r="F25" s="8" t="s">
        <v>106</v>
      </c>
      <c r="G25" s="8" t="s">
        <v>46</v>
      </c>
      <c r="H25" s="17">
        <v>4</v>
      </c>
      <c r="I25" s="17">
        <v>299.99</v>
      </c>
      <c r="J25" s="8" t="s">
        <v>20</v>
      </c>
      <c r="K25" s="8" t="s">
        <v>50</v>
      </c>
      <c r="L25" s="8" t="s">
        <v>27</v>
      </c>
      <c r="M25" s="16">
        <v>44716</v>
      </c>
      <c r="N25" s="18">
        <v>1199.96</v>
      </c>
      <c r="V25" s="27">
        <f t="shared" si="0"/>
        <v>26</v>
      </c>
      <c r="Y25" s="28" t="s">
        <v>87</v>
      </c>
      <c r="Z25" s="28" t="s">
        <v>16</v>
      </c>
      <c r="AA25" s="26" t="str">
        <f t="shared" si="1"/>
        <v>-</v>
      </c>
      <c r="AB25" s="27" t="str">
        <f t="shared" si="2"/>
        <v>MC</v>
      </c>
    </row>
    <row r="26" spans="1:28" ht="18" customHeight="1" x14ac:dyDescent="0.3">
      <c r="A26" s="15" t="s">
        <v>107</v>
      </c>
      <c r="B26" s="16">
        <v>45422</v>
      </c>
      <c r="C26" s="8" t="s">
        <v>108</v>
      </c>
      <c r="D26" s="8" t="s">
        <v>109</v>
      </c>
      <c r="E26" s="8" t="s">
        <v>17</v>
      </c>
      <c r="F26" s="8" t="s">
        <v>18</v>
      </c>
      <c r="G26" s="8" t="s">
        <v>19</v>
      </c>
      <c r="H26" s="17">
        <v>5</v>
      </c>
      <c r="I26" s="17">
        <v>249.99</v>
      </c>
      <c r="J26" s="8" t="s">
        <v>26</v>
      </c>
      <c r="K26" s="8" t="s">
        <v>50</v>
      </c>
      <c r="L26" s="8" t="s">
        <v>36</v>
      </c>
      <c r="M26" s="16">
        <v>44525</v>
      </c>
      <c r="N26" s="18">
        <v>1249.95</v>
      </c>
      <c r="V26" s="27">
        <f t="shared" si="0"/>
        <v>26</v>
      </c>
      <c r="AB26" s="27" t="str">
        <f t="shared" si="2"/>
        <v>NC</v>
      </c>
    </row>
    <row r="27" spans="1:28" ht="18" customHeight="1" x14ac:dyDescent="0.3">
      <c r="A27" s="15" t="s">
        <v>110</v>
      </c>
      <c r="B27" s="16">
        <v>45424</v>
      </c>
      <c r="C27" s="8" t="s">
        <v>68</v>
      </c>
      <c r="D27" s="8" t="s">
        <v>69</v>
      </c>
      <c r="E27" s="8" t="s">
        <v>105</v>
      </c>
      <c r="F27" s="8" t="s">
        <v>106</v>
      </c>
      <c r="G27" s="8" t="s">
        <v>46</v>
      </c>
      <c r="H27" s="17">
        <v>5</v>
      </c>
      <c r="I27" s="17">
        <v>299.99</v>
      </c>
      <c r="J27" s="8" t="s">
        <v>34</v>
      </c>
      <c r="K27" s="8" t="s">
        <v>63</v>
      </c>
      <c r="L27" s="8" t="s">
        <v>22</v>
      </c>
      <c r="M27" s="16">
        <v>45168</v>
      </c>
      <c r="N27" s="18">
        <v>1499.95</v>
      </c>
      <c r="V27" s="27">
        <f t="shared" si="0"/>
        <v>26</v>
      </c>
      <c r="AB27" s="27" t="str">
        <f t="shared" si="2"/>
        <v>SG</v>
      </c>
    </row>
    <row r="28" spans="1:28" ht="18" customHeight="1" x14ac:dyDescent="0.3">
      <c r="A28" s="15" t="s">
        <v>111</v>
      </c>
      <c r="B28" s="16">
        <v>45424</v>
      </c>
      <c r="C28" s="8" t="s">
        <v>112</v>
      </c>
      <c r="D28" s="8" t="s">
        <v>113</v>
      </c>
      <c r="E28" s="8" t="s">
        <v>114</v>
      </c>
      <c r="F28" s="8" t="s">
        <v>115</v>
      </c>
      <c r="G28" s="8" t="s">
        <v>33</v>
      </c>
      <c r="H28" s="17">
        <v>3</v>
      </c>
      <c r="I28" s="17">
        <v>79.989999999999995</v>
      </c>
      <c r="J28" s="8" t="s">
        <v>34</v>
      </c>
      <c r="K28" s="8" t="s">
        <v>63</v>
      </c>
      <c r="L28" s="8" t="s">
        <v>27</v>
      </c>
      <c r="M28" s="16">
        <v>45012</v>
      </c>
      <c r="N28" s="18">
        <v>239.97</v>
      </c>
      <c r="V28" s="27">
        <f t="shared" si="0"/>
        <v>14</v>
      </c>
      <c r="AB28" s="27" t="str">
        <f t="shared" si="2"/>
        <v>LM</v>
      </c>
    </row>
    <row r="29" spans="1:28" ht="18" customHeight="1" x14ac:dyDescent="0.3">
      <c r="A29" s="15" t="s">
        <v>116</v>
      </c>
      <c r="B29" s="16">
        <v>45424</v>
      </c>
      <c r="C29" s="8" t="s">
        <v>99</v>
      </c>
      <c r="D29" s="8" t="s">
        <v>100</v>
      </c>
      <c r="E29" s="8" t="s">
        <v>117</v>
      </c>
      <c r="F29" s="8" t="s">
        <v>118</v>
      </c>
      <c r="G29" s="8" t="s">
        <v>19</v>
      </c>
      <c r="H29" s="17">
        <v>5</v>
      </c>
      <c r="I29" s="17">
        <v>89.99</v>
      </c>
      <c r="J29" s="8" t="s">
        <v>20</v>
      </c>
      <c r="K29" s="8" t="s">
        <v>40</v>
      </c>
      <c r="L29" s="8" t="s">
        <v>27</v>
      </c>
      <c r="M29" s="16">
        <v>44919</v>
      </c>
      <c r="N29" s="18">
        <v>449.95</v>
      </c>
      <c r="V29" s="27">
        <f t="shared" si="0"/>
        <v>34</v>
      </c>
      <c r="AB29" s="27" t="str">
        <f t="shared" si="2"/>
        <v>PM</v>
      </c>
    </row>
    <row r="30" spans="1:28" ht="18" customHeight="1" x14ac:dyDescent="0.3">
      <c r="A30" s="15" t="s">
        <v>119</v>
      </c>
      <c r="B30" s="16">
        <v>45425</v>
      </c>
      <c r="C30" s="8" t="s">
        <v>120</v>
      </c>
      <c r="D30" s="8" t="s">
        <v>121</v>
      </c>
      <c r="E30" s="8" t="s">
        <v>31</v>
      </c>
      <c r="F30" s="8" t="s">
        <v>32</v>
      </c>
      <c r="G30" s="8" t="s">
        <v>33</v>
      </c>
      <c r="H30" s="17">
        <v>2</v>
      </c>
      <c r="I30" s="17">
        <v>59.99</v>
      </c>
      <c r="J30" s="8" t="s">
        <v>57</v>
      </c>
      <c r="K30" s="8" t="s">
        <v>21</v>
      </c>
      <c r="L30" s="8" t="s">
        <v>36</v>
      </c>
      <c r="M30" s="16">
        <v>45214</v>
      </c>
      <c r="N30" s="18">
        <v>119.98</v>
      </c>
      <c r="V30" s="27">
        <f t="shared" si="0"/>
        <v>29</v>
      </c>
      <c r="AB30" s="27" t="str">
        <f t="shared" si="2"/>
        <v>HR</v>
      </c>
    </row>
    <row r="31" spans="1:28" ht="18" customHeight="1" x14ac:dyDescent="0.3">
      <c r="A31" s="15" t="s">
        <v>122</v>
      </c>
      <c r="B31" s="16">
        <v>45427</v>
      </c>
      <c r="C31" s="8" t="s">
        <v>123</v>
      </c>
      <c r="D31" s="8" t="s">
        <v>124</v>
      </c>
      <c r="E31" s="8" t="s">
        <v>31</v>
      </c>
      <c r="F31" s="8" t="s">
        <v>32</v>
      </c>
      <c r="G31" s="8" t="s">
        <v>33</v>
      </c>
      <c r="H31" s="17">
        <v>4</v>
      </c>
      <c r="I31" s="17">
        <v>59.99</v>
      </c>
      <c r="J31" s="8" t="s">
        <v>57</v>
      </c>
      <c r="K31" s="8" t="s">
        <v>63</v>
      </c>
      <c r="L31" s="8" t="s">
        <v>36</v>
      </c>
      <c r="M31" s="16">
        <v>44867</v>
      </c>
      <c r="N31" s="18">
        <v>239.96</v>
      </c>
      <c r="V31" s="27">
        <f t="shared" si="0"/>
        <v>29</v>
      </c>
      <c r="AB31" s="27" t="str">
        <f t="shared" si="2"/>
        <v>EM</v>
      </c>
    </row>
    <row r="32" spans="1:28" ht="18" customHeight="1" x14ac:dyDescent="0.3">
      <c r="A32" s="15" t="s">
        <v>125</v>
      </c>
      <c r="B32" s="16">
        <v>45427</v>
      </c>
      <c r="C32" s="8" t="s">
        <v>55</v>
      </c>
      <c r="D32" s="8" t="s">
        <v>56</v>
      </c>
      <c r="E32" s="8" t="s">
        <v>126</v>
      </c>
      <c r="F32" s="8" t="s">
        <v>127</v>
      </c>
      <c r="G32" s="8" t="s">
        <v>46</v>
      </c>
      <c r="H32" s="17">
        <v>5</v>
      </c>
      <c r="I32" s="17">
        <v>199.99</v>
      </c>
      <c r="J32" s="8" t="s">
        <v>20</v>
      </c>
      <c r="K32" s="8" t="s">
        <v>35</v>
      </c>
      <c r="L32" s="8" t="s">
        <v>36</v>
      </c>
      <c r="M32" s="16">
        <v>44412</v>
      </c>
      <c r="N32" s="18">
        <v>999.95</v>
      </c>
      <c r="V32" s="27">
        <f t="shared" si="0"/>
        <v>15</v>
      </c>
      <c r="AB32" s="27" t="str">
        <f t="shared" si="2"/>
        <v>CA</v>
      </c>
    </row>
    <row r="33" spans="1:28" ht="18" customHeight="1" x14ac:dyDescent="0.3">
      <c r="A33" s="15" t="s">
        <v>128</v>
      </c>
      <c r="B33" s="16">
        <v>45428</v>
      </c>
      <c r="C33" s="8" t="s">
        <v>129</v>
      </c>
      <c r="D33" s="8" t="s">
        <v>130</v>
      </c>
      <c r="E33" s="8" t="s">
        <v>44</v>
      </c>
      <c r="F33" s="8" t="s">
        <v>45</v>
      </c>
      <c r="G33" s="8" t="s">
        <v>46</v>
      </c>
      <c r="H33" s="17">
        <v>2</v>
      </c>
      <c r="I33" s="17">
        <v>149.99</v>
      </c>
      <c r="J33" s="8" t="s">
        <v>26</v>
      </c>
      <c r="K33" s="8" t="s">
        <v>50</v>
      </c>
      <c r="L33" s="8" t="s">
        <v>22</v>
      </c>
      <c r="M33" s="16">
        <v>44823</v>
      </c>
      <c r="N33" s="18">
        <v>299.98</v>
      </c>
      <c r="V33" s="27">
        <f t="shared" si="0"/>
        <v>35</v>
      </c>
      <c r="AB33" s="27" t="str">
        <f t="shared" si="2"/>
        <v>LA</v>
      </c>
    </row>
    <row r="34" spans="1:28" ht="18" customHeight="1" x14ac:dyDescent="0.3">
      <c r="A34" s="15" t="s">
        <v>131</v>
      </c>
      <c r="B34" s="16">
        <v>45430</v>
      </c>
      <c r="C34" s="8" t="s">
        <v>132</v>
      </c>
      <c r="D34" s="8" t="s">
        <v>133</v>
      </c>
      <c r="E34" s="8" t="s">
        <v>44</v>
      </c>
      <c r="F34" s="8" t="s">
        <v>45</v>
      </c>
      <c r="G34" s="8" t="s">
        <v>46</v>
      </c>
      <c r="H34" s="17">
        <v>3</v>
      </c>
      <c r="I34" s="17">
        <v>149.99</v>
      </c>
      <c r="J34" s="8" t="s">
        <v>26</v>
      </c>
      <c r="K34" s="8" t="s">
        <v>50</v>
      </c>
      <c r="L34" s="8" t="s">
        <v>27</v>
      </c>
      <c r="M34" s="16">
        <v>45068</v>
      </c>
      <c r="N34" s="18">
        <v>449.97</v>
      </c>
      <c r="V34" s="27">
        <f t="shared" si="0"/>
        <v>35</v>
      </c>
      <c r="AB34" s="27" t="str">
        <f t="shared" si="2"/>
        <v>EW</v>
      </c>
    </row>
    <row r="35" spans="1:28" ht="18" customHeight="1" x14ac:dyDescent="0.3">
      <c r="A35" s="15" t="s">
        <v>134</v>
      </c>
      <c r="B35" s="16">
        <v>45432</v>
      </c>
      <c r="C35" s="8" t="s">
        <v>29</v>
      </c>
      <c r="D35" s="8" t="s">
        <v>30</v>
      </c>
      <c r="E35" s="8" t="s">
        <v>61</v>
      </c>
      <c r="F35" s="8" t="s">
        <v>62</v>
      </c>
      <c r="G35" s="8" t="s">
        <v>19</v>
      </c>
      <c r="H35" s="17">
        <v>1</v>
      </c>
      <c r="I35" s="17">
        <v>899.99</v>
      </c>
      <c r="J35" s="8" t="s">
        <v>26</v>
      </c>
      <c r="K35" s="8" t="s">
        <v>50</v>
      </c>
      <c r="L35" s="8" t="s">
        <v>27</v>
      </c>
      <c r="M35" s="16">
        <v>44578</v>
      </c>
      <c r="N35" s="18">
        <v>899.99</v>
      </c>
      <c r="V35" s="27">
        <f t="shared" si="0"/>
        <v>24</v>
      </c>
      <c r="AB35" s="27" t="str">
        <f t="shared" si="2"/>
        <v>KS</v>
      </c>
    </row>
    <row r="36" spans="1:28" ht="18" customHeight="1" x14ac:dyDescent="0.3">
      <c r="A36" s="15" t="s">
        <v>135</v>
      </c>
      <c r="B36" s="16">
        <v>45434</v>
      </c>
      <c r="C36" s="8" t="s">
        <v>99</v>
      </c>
      <c r="D36" s="8" t="s">
        <v>100</v>
      </c>
      <c r="E36" s="8" t="s">
        <v>105</v>
      </c>
      <c r="F36" s="8" t="s">
        <v>106</v>
      </c>
      <c r="G36" s="8" t="s">
        <v>46</v>
      </c>
      <c r="H36" s="17">
        <v>3</v>
      </c>
      <c r="I36" s="17">
        <v>299.99</v>
      </c>
      <c r="J36" s="8" t="s">
        <v>26</v>
      </c>
      <c r="K36" s="8" t="s">
        <v>63</v>
      </c>
      <c r="L36" s="8" t="s">
        <v>22</v>
      </c>
      <c r="M36" s="16">
        <v>44824</v>
      </c>
      <c r="N36" s="18">
        <v>899.97</v>
      </c>
      <c r="V36" s="27">
        <f t="shared" si="0"/>
        <v>26</v>
      </c>
      <c r="AB36" s="27" t="str">
        <f t="shared" si="2"/>
        <v>PM</v>
      </c>
    </row>
    <row r="37" spans="1:28" ht="18" customHeight="1" x14ac:dyDescent="0.3">
      <c r="A37" s="15" t="s">
        <v>136</v>
      </c>
      <c r="B37" s="16">
        <v>45435</v>
      </c>
      <c r="C37" s="8" t="s">
        <v>129</v>
      </c>
      <c r="D37" s="8" t="s">
        <v>130</v>
      </c>
      <c r="E37" s="8" t="s">
        <v>114</v>
      </c>
      <c r="F37" s="8" t="s">
        <v>115</v>
      </c>
      <c r="G37" s="8" t="s">
        <v>33</v>
      </c>
      <c r="H37" s="17">
        <v>3</v>
      </c>
      <c r="I37" s="17">
        <v>79.989999999999995</v>
      </c>
      <c r="J37" s="8" t="s">
        <v>20</v>
      </c>
      <c r="K37" s="8" t="s">
        <v>35</v>
      </c>
      <c r="L37" s="8" t="s">
        <v>22</v>
      </c>
      <c r="M37" s="16">
        <v>45046</v>
      </c>
      <c r="N37" s="18">
        <v>239.97</v>
      </c>
      <c r="V37" s="27">
        <f t="shared" si="0"/>
        <v>14</v>
      </c>
      <c r="AB37" s="27" t="str">
        <f t="shared" si="2"/>
        <v>LA</v>
      </c>
    </row>
    <row r="38" spans="1:28" ht="18" customHeight="1" x14ac:dyDescent="0.3">
      <c r="A38" s="15" t="s">
        <v>137</v>
      </c>
      <c r="B38" s="16">
        <v>45438</v>
      </c>
      <c r="C38" s="8" t="s">
        <v>138</v>
      </c>
      <c r="D38" s="8" t="s">
        <v>139</v>
      </c>
      <c r="E38" s="8" t="s">
        <v>126</v>
      </c>
      <c r="F38" s="8" t="s">
        <v>127</v>
      </c>
      <c r="G38" s="8" t="s">
        <v>46</v>
      </c>
      <c r="H38" s="17">
        <v>3</v>
      </c>
      <c r="I38" s="17">
        <v>199.99</v>
      </c>
      <c r="J38" s="8" t="s">
        <v>26</v>
      </c>
      <c r="K38" s="8" t="s">
        <v>40</v>
      </c>
      <c r="L38" s="8" t="s">
        <v>27</v>
      </c>
      <c r="M38" s="16">
        <v>45292</v>
      </c>
      <c r="N38" s="18">
        <v>599.97</v>
      </c>
      <c r="V38" s="27">
        <f t="shared" si="0"/>
        <v>15</v>
      </c>
      <c r="AB38" s="27" t="str">
        <f t="shared" si="2"/>
        <v>ST</v>
      </c>
    </row>
    <row r="39" spans="1:28" ht="18" customHeight="1" x14ac:dyDescent="0.3">
      <c r="A39" s="15" t="s">
        <v>140</v>
      </c>
      <c r="B39" s="16">
        <v>45440</v>
      </c>
      <c r="C39" s="8" t="s">
        <v>141</v>
      </c>
      <c r="D39" s="8" t="s">
        <v>142</v>
      </c>
      <c r="E39" s="8" t="s">
        <v>80</v>
      </c>
      <c r="F39" s="8" t="s">
        <v>81</v>
      </c>
      <c r="G39" s="8" t="s">
        <v>19</v>
      </c>
      <c r="H39" s="17">
        <v>5</v>
      </c>
      <c r="I39" s="17">
        <v>699.99</v>
      </c>
      <c r="J39" s="8" t="s">
        <v>34</v>
      </c>
      <c r="K39" s="8" t="s">
        <v>50</v>
      </c>
      <c r="L39" s="8" t="s">
        <v>36</v>
      </c>
      <c r="M39" s="16">
        <v>44407</v>
      </c>
      <c r="N39" s="18">
        <v>3499.95</v>
      </c>
      <c r="V39" s="27">
        <f t="shared" si="0"/>
        <v>30</v>
      </c>
      <c r="AB39" s="27" t="str">
        <f t="shared" si="2"/>
        <v>JT</v>
      </c>
    </row>
    <row r="40" spans="1:28" ht="18" customHeight="1" x14ac:dyDescent="0.3">
      <c r="A40" s="15" t="s">
        <v>143</v>
      </c>
      <c r="B40" s="16">
        <v>45441</v>
      </c>
      <c r="C40" s="8" t="s">
        <v>144</v>
      </c>
      <c r="D40" s="8" t="s">
        <v>145</v>
      </c>
      <c r="E40" s="8" t="s">
        <v>117</v>
      </c>
      <c r="F40" s="8" t="s">
        <v>118</v>
      </c>
      <c r="G40" s="8" t="s">
        <v>19</v>
      </c>
      <c r="H40" s="17">
        <v>3</v>
      </c>
      <c r="I40" s="17">
        <v>89.99</v>
      </c>
      <c r="J40" s="8" t="s">
        <v>34</v>
      </c>
      <c r="K40" s="8" t="s">
        <v>21</v>
      </c>
      <c r="L40" s="8" t="s">
        <v>27</v>
      </c>
      <c r="M40" s="16">
        <v>45120</v>
      </c>
      <c r="N40" s="18">
        <v>269.97000000000003</v>
      </c>
      <c r="V40" s="27">
        <f t="shared" si="0"/>
        <v>34</v>
      </c>
      <c r="AB40" s="27" t="str">
        <f t="shared" si="2"/>
        <v>HM</v>
      </c>
    </row>
    <row r="41" spans="1:28" ht="18" customHeight="1" x14ac:dyDescent="0.3">
      <c r="A41" s="15" t="s">
        <v>146</v>
      </c>
      <c r="B41" s="16">
        <v>45443</v>
      </c>
      <c r="C41" s="8" t="s">
        <v>147</v>
      </c>
      <c r="D41" s="8" t="s">
        <v>148</v>
      </c>
      <c r="E41" s="8" t="s">
        <v>114</v>
      </c>
      <c r="F41" s="8" t="s">
        <v>115</v>
      </c>
      <c r="G41" s="8" t="s">
        <v>33</v>
      </c>
      <c r="H41" s="17">
        <v>1</v>
      </c>
      <c r="I41" s="17">
        <v>79.989999999999995</v>
      </c>
      <c r="J41" s="8" t="s">
        <v>20</v>
      </c>
      <c r="K41" s="8" t="s">
        <v>40</v>
      </c>
      <c r="L41" s="8" t="s">
        <v>36</v>
      </c>
      <c r="M41" s="16">
        <v>44917</v>
      </c>
      <c r="N41" s="18">
        <v>79.989999999999995</v>
      </c>
      <c r="V41" s="27">
        <f t="shared" si="0"/>
        <v>14</v>
      </c>
      <c r="AB41" s="27" t="str">
        <f t="shared" si="2"/>
        <v>DK</v>
      </c>
    </row>
    <row r="42" spans="1:28" ht="18" customHeight="1" x14ac:dyDescent="0.3">
      <c r="A42" s="15" t="s">
        <v>149</v>
      </c>
      <c r="B42" s="16">
        <v>45444</v>
      </c>
      <c r="C42" s="8" t="s">
        <v>150</v>
      </c>
      <c r="D42" s="8" t="s">
        <v>151</v>
      </c>
      <c r="E42" s="8" t="s">
        <v>31</v>
      </c>
      <c r="F42" s="8" t="s">
        <v>32</v>
      </c>
      <c r="G42" s="8" t="s">
        <v>33</v>
      </c>
      <c r="H42" s="17">
        <v>2</v>
      </c>
      <c r="I42" s="17">
        <v>59.99</v>
      </c>
      <c r="J42" s="8" t="s">
        <v>20</v>
      </c>
      <c r="K42" s="8" t="s">
        <v>50</v>
      </c>
      <c r="L42" s="8" t="s">
        <v>22</v>
      </c>
      <c r="M42" s="16">
        <v>45390</v>
      </c>
      <c r="N42" s="18">
        <v>119.98</v>
      </c>
      <c r="V42" s="27">
        <f t="shared" si="0"/>
        <v>29</v>
      </c>
      <c r="AB42" s="27" t="str">
        <f t="shared" si="2"/>
        <v>SB</v>
      </c>
    </row>
    <row r="43" spans="1:28" ht="18" customHeight="1" x14ac:dyDescent="0.3">
      <c r="A43" s="15" t="s">
        <v>152</v>
      </c>
      <c r="B43" s="16">
        <v>45444</v>
      </c>
      <c r="C43" s="8" t="s">
        <v>55</v>
      </c>
      <c r="D43" s="8" t="s">
        <v>56</v>
      </c>
      <c r="E43" s="8" t="s">
        <v>117</v>
      </c>
      <c r="F43" s="8" t="s">
        <v>118</v>
      </c>
      <c r="G43" s="8" t="s">
        <v>19</v>
      </c>
      <c r="H43" s="17">
        <v>1</v>
      </c>
      <c r="I43" s="17">
        <v>89.99</v>
      </c>
      <c r="J43" s="8" t="s">
        <v>20</v>
      </c>
      <c r="K43" s="8" t="s">
        <v>40</v>
      </c>
      <c r="L43" s="8" t="s">
        <v>22</v>
      </c>
      <c r="M43" s="16">
        <v>45141</v>
      </c>
      <c r="N43" s="18">
        <v>89.99</v>
      </c>
      <c r="V43" s="27">
        <f t="shared" si="0"/>
        <v>34</v>
      </c>
      <c r="AB43" s="27" t="str">
        <f t="shared" si="2"/>
        <v>CA</v>
      </c>
    </row>
    <row r="44" spans="1:28" ht="18" customHeight="1" x14ac:dyDescent="0.3">
      <c r="A44" s="15" t="s">
        <v>153</v>
      </c>
      <c r="B44" s="16">
        <v>45446</v>
      </c>
      <c r="C44" s="8" t="s">
        <v>154</v>
      </c>
      <c r="D44" s="8" t="s">
        <v>155</v>
      </c>
      <c r="E44" s="8" t="s">
        <v>117</v>
      </c>
      <c r="F44" s="8" t="s">
        <v>118</v>
      </c>
      <c r="G44" s="8" t="s">
        <v>19</v>
      </c>
      <c r="H44" s="17">
        <v>5</v>
      </c>
      <c r="I44" s="17">
        <v>89.99</v>
      </c>
      <c r="J44" s="8" t="s">
        <v>26</v>
      </c>
      <c r="K44" s="8" t="s">
        <v>63</v>
      </c>
      <c r="L44" s="8" t="s">
        <v>36</v>
      </c>
      <c r="M44" s="16">
        <v>44587</v>
      </c>
      <c r="N44" s="18">
        <v>449.95</v>
      </c>
      <c r="V44" s="27">
        <f t="shared" si="0"/>
        <v>34</v>
      </c>
      <c r="AB44" s="27" t="str">
        <f t="shared" si="2"/>
        <v>SD</v>
      </c>
    </row>
    <row r="45" spans="1:28" ht="18" customHeight="1" x14ac:dyDescent="0.3">
      <c r="A45" s="15" t="s">
        <v>156</v>
      </c>
      <c r="B45" s="16">
        <v>45449</v>
      </c>
      <c r="C45" s="8" t="s">
        <v>24</v>
      </c>
      <c r="D45" s="8" t="s">
        <v>25</v>
      </c>
      <c r="E45" s="8" t="s">
        <v>17</v>
      </c>
      <c r="F45" s="8" t="s">
        <v>18</v>
      </c>
      <c r="G45" s="8" t="s">
        <v>19</v>
      </c>
      <c r="H45" s="17">
        <v>5</v>
      </c>
      <c r="I45" s="17">
        <v>249.99</v>
      </c>
      <c r="J45" s="8" t="s">
        <v>26</v>
      </c>
      <c r="K45" s="8" t="s">
        <v>63</v>
      </c>
      <c r="L45" s="8" t="s">
        <v>36</v>
      </c>
      <c r="M45" s="16">
        <v>44707</v>
      </c>
      <c r="N45" s="18">
        <v>1249.95</v>
      </c>
      <c r="V45" s="27">
        <f t="shared" si="0"/>
        <v>26</v>
      </c>
      <c r="AB45" s="27" t="str">
        <f t="shared" si="2"/>
        <v>JJ</v>
      </c>
    </row>
    <row r="46" spans="1:28" ht="18" customHeight="1" x14ac:dyDescent="0.3">
      <c r="A46" s="15" t="s">
        <v>157</v>
      </c>
      <c r="B46" s="16">
        <v>45449</v>
      </c>
      <c r="C46" s="8" t="s">
        <v>158</v>
      </c>
      <c r="D46" s="8" t="s">
        <v>159</v>
      </c>
      <c r="E46" s="8" t="s">
        <v>117</v>
      </c>
      <c r="F46" s="8" t="s">
        <v>118</v>
      </c>
      <c r="G46" s="8" t="s">
        <v>19</v>
      </c>
      <c r="H46" s="17">
        <v>1</v>
      </c>
      <c r="I46" s="17">
        <v>89.99</v>
      </c>
      <c r="J46" s="8" t="s">
        <v>26</v>
      </c>
      <c r="K46" s="8" t="s">
        <v>35</v>
      </c>
      <c r="L46" s="8" t="s">
        <v>36</v>
      </c>
      <c r="M46" s="16">
        <v>44582</v>
      </c>
      <c r="N46" s="18">
        <v>89.99</v>
      </c>
      <c r="V46" s="27">
        <f t="shared" si="0"/>
        <v>34</v>
      </c>
      <c r="AB46" s="27" t="str">
        <f t="shared" si="2"/>
        <v>BC</v>
      </c>
    </row>
    <row r="47" spans="1:28" ht="18" customHeight="1" x14ac:dyDescent="0.3">
      <c r="A47" s="15" t="s">
        <v>160</v>
      </c>
      <c r="B47" s="16">
        <v>45450</v>
      </c>
      <c r="C47" s="8" t="s">
        <v>42</v>
      </c>
      <c r="D47" s="8" t="s">
        <v>43</v>
      </c>
      <c r="E47" s="8" t="s">
        <v>44</v>
      </c>
      <c r="F47" s="8" t="s">
        <v>45</v>
      </c>
      <c r="G47" s="8" t="s">
        <v>46</v>
      </c>
      <c r="H47" s="17">
        <v>2</v>
      </c>
      <c r="I47" s="17">
        <v>149.99</v>
      </c>
      <c r="J47" s="8" t="s">
        <v>20</v>
      </c>
      <c r="K47" s="8" t="s">
        <v>63</v>
      </c>
      <c r="L47" s="8" t="s">
        <v>27</v>
      </c>
      <c r="M47" s="16">
        <v>44645</v>
      </c>
      <c r="N47" s="18">
        <v>299.98</v>
      </c>
      <c r="V47" s="27">
        <f t="shared" si="0"/>
        <v>35</v>
      </c>
      <c r="AB47" s="27" t="str">
        <f t="shared" si="2"/>
        <v>MB</v>
      </c>
    </row>
    <row r="48" spans="1:28" ht="18" customHeight="1" x14ac:dyDescent="0.3">
      <c r="A48" s="15" t="s">
        <v>161</v>
      </c>
      <c r="B48" s="16">
        <v>45452</v>
      </c>
      <c r="C48" s="8" t="s">
        <v>162</v>
      </c>
      <c r="D48" s="8" t="s">
        <v>163</v>
      </c>
      <c r="E48" s="8" t="s">
        <v>31</v>
      </c>
      <c r="F48" s="8" t="s">
        <v>32</v>
      </c>
      <c r="G48" s="8" t="s">
        <v>33</v>
      </c>
      <c r="H48" s="17">
        <v>4</v>
      </c>
      <c r="I48" s="17">
        <v>59.99</v>
      </c>
      <c r="J48" s="8" t="s">
        <v>20</v>
      </c>
      <c r="K48" s="8" t="s">
        <v>63</v>
      </c>
      <c r="L48" s="8" t="s">
        <v>36</v>
      </c>
      <c r="M48" s="16">
        <v>44435</v>
      </c>
      <c r="N48" s="18">
        <v>239.96</v>
      </c>
      <c r="V48" s="27">
        <f t="shared" si="0"/>
        <v>29</v>
      </c>
      <c r="AB48" s="27" t="str">
        <f t="shared" si="2"/>
        <v>JF</v>
      </c>
    </row>
    <row r="49" spans="1:28" ht="18" customHeight="1" x14ac:dyDescent="0.3">
      <c r="A49" s="15" t="s">
        <v>164</v>
      </c>
      <c r="B49" s="16">
        <v>45456</v>
      </c>
      <c r="C49" s="8" t="s">
        <v>129</v>
      </c>
      <c r="D49" s="8" t="s">
        <v>130</v>
      </c>
      <c r="E49" s="8" t="s">
        <v>117</v>
      </c>
      <c r="F49" s="8" t="s">
        <v>118</v>
      </c>
      <c r="G49" s="8" t="s">
        <v>19</v>
      </c>
      <c r="H49" s="17">
        <v>5</v>
      </c>
      <c r="I49" s="17">
        <v>89.99</v>
      </c>
      <c r="J49" s="8" t="s">
        <v>20</v>
      </c>
      <c r="K49" s="8" t="s">
        <v>21</v>
      </c>
      <c r="L49" s="8" t="s">
        <v>27</v>
      </c>
      <c r="M49" s="16">
        <v>44579</v>
      </c>
      <c r="N49" s="18">
        <v>449.95</v>
      </c>
      <c r="V49" s="27">
        <f t="shared" si="0"/>
        <v>34</v>
      </c>
      <c r="AB49" s="27" t="str">
        <f t="shared" si="2"/>
        <v>LA</v>
      </c>
    </row>
    <row r="50" spans="1:28" ht="18" customHeight="1" x14ac:dyDescent="0.3">
      <c r="A50" s="15" t="s">
        <v>165</v>
      </c>
      <c r="B50" s="16">
        <v>45459</v>
      </c>
      <c r="C50" s="8" t="s">
        <v>99</v>
      </c>
      <c r="D50" s="8" t="s">
        <v>100</v>
      </c>
      <c r="E50" s="8" t="s">
        <v>117</v>
      </c>
      <c r="F50" s="8" t="s">
        <v>118</v>
      </c>
      <c r="G50" s="8" t="s">
        <v>19</v>
      </c>
      <c r="H50" s="17">
        <v>2</v>
      </c>
      <c r="I50" s="17">
        <v>89.99</v>
      </c>
      <c r="J50" s="8" t="s">
        <v>26</v>
      </c>
      <c r="K50" s="8" t="s">
        <v>35</v>
      </c>
      <c r="L50" s="8" t="s">
        <v>27</v>
      </c>
      <c r="M50" s="16">
        <v>44471</v>
      </c>
      <c r="N50" s="18">
        <v>179.98</v>
      </c>
      <c r="V50" s="27">
        <f t="shared" si="0"/>
        <v>34</v>
      </c>
      <c r="AB50" s="27" t="str">
        <f t="shared" si="2"/>
        <v>PM</v>
      </c>
    </row>
    <row r="51" spans="1:28" ht="18" customHeight="1" x14ac:dyDescent="0.3">
      <c r="A51" s="15" t="s">
        <v>166</v>
      </c>
      <c r="B51" s="16">
        <v>45459</v>
      </c>
      <c r="C51" s="8" t="s">
        <v>15</v>
      </c>
      <c r="D51" s="8" t="s">
        <v>16</v>
      </c>
      <c r="E51" s="8" t="s">
        <v>61</v>
      </c>
      <c r="F51" s="8" t="s">
        <v>62</v>
      </c>
      <c r="G51" s="8" t="s">
        <v>19</v>
      </c>
      <c r="H51" s="17">
        <v>5</v>
      </c>
      <c r="I51" s="17">
        <v>899.99</v>
      </c>
      <c r="J51" s="8" t="s">
        <v>26</v>
      </c>
      <c r="K51" s="8" t="s">
        <v>35</v>
      </c>
      <c r="L51" s="8" t="s">
        <v>36</v>
      </c>
      <c r="M51" s="16">
        <v>44974</v>
      </c>
      <c r="N51" s="18">
        <v>4499.95</v>
      </c>
      <c r="V51" s="27">
        <f t="shared" si="0"/>
        <v>24</v>
      </c>
      <c r="AB51" s="27" t="str">
        <f t="shared" si="2"/>
        <v>PB</v>
      </c>
    </row>
    <row r="52" spans="1:28" ht="18" customHeight="1" x14ac:dyDescent="0.3">
      <c r="A52" s="15" t="s">
        <v>167</v>
      </c>
      <c r="B52" s="16">
        <v>45459</v>
      </c>
      <c r="C52" s="8" t="s">
        <v>123</v>
      </c>
      <c r="D52" s="8" t="s">
        <v>124</v>
      </c>
      <c r="E52" s="8" t="s">
        <v>61</v>
      </c>
      <c r="F52" s="8" t="s">
        <v>62</v>
      </c>
      <c r="G52" s="8" t="s">
        <v>19</v>
      </c>
      <c r="H52" s="17">
        <v>5</v>
      </c>
      <c r="I52" s="17">
        <v>899.99</v>
      </c>
      <c r="J52" s="8" t="s">
        <v>34</v>
      </c>
      <c r="K52" s="8" t="s">
        <v>63</v>
      </c>
      <c r="L52" s="8" t="s">
        <v>27</v>
      </c>
      <c r="M52" s="16">
        <v>45278</v>
      </c>
      <c r="N52" s="18">
        <v>4499.95</v>
      </c>
      <c r="V52" s="27">
        <f t="shared" si="0"/>
        <v>24</v>
      </c>
      <c r="AB52" s="27" t="str">
        <f t="shared" si="2"/>
        <v>EM</v>
      </c>
    </row>
    <row r="53" spans="1:28" ht="18" customHeight="1" x14ac:dyDescent="0.3">
      <c r="A53" s="15" t="s">
        <v>168</v>
      </c>
      <c r="B53" s="16">
        <v>45460</v>
      </c>
      <c r="C53" s="8" t="s">
        <v>158</v>
      </c>
      <c r="D53" s="8" t="s">
        <v>159</v>
      </c>
      <c r="E53" s="8" t="s">
        <v>31</v>
      </c>
      <c r="F53" s="8" t="s">
        <v>32</v>
      </c>
      <c r="G53" s="8" t="s">
        <v>33</v>
      </c>
      <c r="H53" s="17">
        <v>1</v>
      </c>
      <c r="I53" s="17">
        <v>59.99</v>
      </c>
      <c r="J53" s="8" t="s">
        <v>57</v>
      </c>
      <c r="K53" s="8" t="s">
        <v>50</v>
      </c>
      <c r="L53" s="8" t="s">
        <v>27</v>
      </c>
      <c r="M53" s="16">
        <v>45190</v>
      </c>
      <c r="N53" s="18">
        <v>59.99</v>
      </c>
      <c r="V53" s="27">
        <f t="shared" si="0"/>
        <v>29</v>
      </c>
      <c r="AB53" s="27" t="str">
        <f t="shared" si="2"/>
        <v>BC</v>
      </c>
    </row>
    <row r="54" spans="1:28" ht="18" customHeight="1" x14ac:dyDescent="0.3">
      <c r="A54" s="15" t="s">
        <v>169</v>
      </c>
      <c r="B54" s="16">
        <v>45460</v>
      </c>
      <c r="C54" s="8" t="s">
        <v>141</v>
      </c>
      <c r="D54" s="8" t="s">
        <v>142</v>
      </c>
      <c r="E54" s="8" t="s">
        <v>105</v>
      </c>
      <c r="F54" s="8" t="s">
        <v>106</v>
      </c>
      <c r="G54" s="8" t="s">
        <v>46</v>
      </c>
      <c r="H54" s="17">
        <v>2</v>
      </c>
      <c r="I54" s="17">
        <v>299.99</v>
      </c>
      <c r="J54" s="8" t="s">
        <v>57</v>
      </c>
      <c r="K54" s="8" t="s">
        <v>63</v>
      </c>
      <c r="L54" s="8" t="s">
        <v>36</v>
      </c>
      <c r="M54" s="16">
        <v>45253</v>
      </c>
      <c r="N54" s="18">
        <v>599.98</v>
      </c>
      <c r="V54" s="27">
        <f t="shared" si="0"/>
        <v>26</v>
      </c>
      <c r="AB54" s="27" t="str">
        <f t="shared" si="2"/>
        <v>JT</v>
      </c>
    </row>
    <row r="55" spans="1:28" ht="18" customHeight="1" x14ac:dyDescent="0.3">
      <c r="A55" s="15" t="s">
        <v>170</v>
      </c>
      <c r="B55" s="16">
        <v>45468</v>
      </c>
      <c r="C55" s="8" t="s">
        <v>171</v>
      </c>
      <c r="D55" s="8" t="s">
        <v>172</v>
      </c>
      <c r="E55" s="8" t="s">
        <v>117</v>
      </c>
      <c r="F55" s="8" t="s">
        <v>118</v>
      </c>
      <c r="G55" s="8" t="s">
        <v>19</v>
      </c>
      <c r="H55" s="17">
        <v>4</v>
      </c>
      <c r="I55" s="17">
        <v>89.99</v>
      </c>
      <c r="J55" s="8" t="s">
        <v>57</v>
      </c>
      <c r="K55" s="8" t="s">
        <v>35</v>
      </c>
      <c r="L55" s="8" t="s">
        <v>22</v>
      </c>
      <c r="M55" s="16">
        <v>45281</v>
      </c>
      <c r="N55" s="18">
        <v>359.96</v>
      </c>
      <c r="V55" s="27">
        <f t="shared" si="0"/>
        <v>34</v>
      </c>
      <c r="AB55" s="27" t="str">
        <f t="shared" si="2"/>
        <v>RR</v>
      </c>
    </row>
    <row r="56" spans="1:28" ht="18" customHeight="1" x14ac:dyDescent="0.3">
      <c r="A56" s="15" t="s">
        <v>173</v>
      </c>
      <c r="B56" s="16">
        <v>45469</v>
      </c>
      <c r="C56" s="8" t="s">
        <v>29</v>
      </c>
      <c r="D56" s="8" t="s">
        <v>30</v>
      </c>
      <c r="E56" s="8" t="s">
        <v>114</v>
      </c>
      <c r="F56" s="8" t="s">
        <v>115</v>
      </c>
      <c r="G56" s="8" t="s">
        <v>33</v>
      </c>
      <c r="H56" s="17">
        <v>1</v>
      </c>
      <c r="I56" s="17">
        <v>79.989999999999995</v>
      </c>
      <c r="J56" s="8" t="s">
        <v>34</v>
      </c>
      <c r="K56" s="8" t="s">
        <v>21</v>
      </c>
      <c r="L56" s="8" t="s">
        <v>27</v>
      </c>
      <c r="M56" s="16">
        <v>45352</v>
      </c>
      <c r="N56" s="18">
        <v>79.989999999999995</v>
      </c>
      <c r="V56" s="27">
        <f t="shared" si="0"/>
        <v>14</v>
      </c>
      <c r="AB56" s="27" t="str">
        <f t="shared" si="2"/>
        <v>KS</v>
      </c>
    </row>
    <row r="57" spans="1:28" ht="18" customHeight="1" x14ac:dyDescent="0.3">
      <c r="A57" s="15" t="s">
        <v>174</v>
      </c>
      <c r="B57" s="16">
        <v>45469</v>
      </c>
      <c r="C57" s="8" t="s">
        <v>59</v>
      </c>
      <c r="D57" s="8" t="s">
        <v>60</v>
      </c>
      <c r="E57" s="8" t="s">
        <v>117</v>
      </c>
      <c r="F57" s="8" t="s">
        <v>118</v>
      </c>
      <c r="G57" s="8" t="s">
        <v>19</v>
      </c>
      <c r="H57" s="17">
        <v>2</v>
      </c>
      <c r="I57" s="17">
        <v>89.99</v>
      </c>
      <c r="J57" s="8" t="s">
        <v>20</v>
      </c>
      <c r="K57" s="8" t="s">
        <v>50</v>
      </c>
      <c r="L57" s="8" t="s">
        <v>22</v>
      </c>
      <c r="M57" s="16">
        <v>44438</v>
      </c>
      <c r="N57" s="18">
        <v>179.98</v>
      </c>
      <c r="V57" s="27">
        <f t="shared" si="0"/>
        <v>34</v>
      </c>
      <c r="AB57" s="27" t="str">
        <f t="shared" si="2"/>
        <v>RT</v>
      </c>
    </row>
    <row r="58" spans="1:28" ht="18" customHeight="1" x14ac:dyDescent="0.3">
      <c r="A58" s="15" t="s">
        <v>175</v>
      </c>
      <c r="B58" s="16">
        <v>45471</v>
      </c>
      <c r="C58" s="8" t="s">
        <v>38</v>
      </c>
      <c r="D58" s="8" t="s">
        <v>39</v>
      </c>
      <c r="E58" s="8" t="s">
        <v>80</v>
      </c>
      <c r="F58" s="8" t="s">
        <v>81</v>
      </c>
      <c r="G58" s="8" t="s">
        <v>19</v>
      </c>
      <c r="H58" s="17">
        <v>3</v>
      </c>
      <c r="I58" s="17">
        <v>699.99</v>
      </c>
      <c r="J58" s="8" t="s">
        <v>26</v>
      </c>
      <c r="K58" s="8" t="s">
        <v>63</v>
      </c>
      <c r="L58" s="8" t="s">
        <v>27</v>
      </c>
      <c r="M58" s="16">
        <v>45102</v>
      </c>
      <c r="N58" s="18">
        <v>2099.9699999999998</v>
      </c>
      <c r="V58" s="27">
        <f t="shared" si="0"/>
        <v>30</v>
      </c>
      <c r="AB58" s="27" t="str">
        <f t="shared" si="2"/>
        <v>KB</v>
      </c>
    </row>
    <row r="59" spans="1:28" ht="18" customHeight="1" x14ac:dyDescent="0.3">
      <c r="A59" s="15" t="s">
        <v>176</v>
      </c>
      <c r="B59" s="16">
        <v>45471</v>
      </c>
      <c r="C59" s="8" t="s">
        <v>99</v>
      </c>
      <c r="D59" s="8" t="s">
        <v>100</v>
      </c>
      <c r="E59" s="8" t="s">
        <v>61</v>
      </c>
      <c r="F59" s="8" t="s">
        <v>62</v>
      </c>
      <c r="G59" s="8" t="s">
        <v>19</v>
      </c>
      <c r="H59" s="17">
        <v>4</v>
      </c>
      <c r="I59" s="17">
        <v>899.99</v>
      </c>
      <c r="J59" s="8" t="s">
        <v>26</v>
      </c>
      <c r="K59" s="8" t="s">
        <v>63</v>
      </c>
      <c r="L59" s="8" t="s">
        <v>27</v>
      </c>
      <c r="M59" s="16">
        <v>44993</v>
      </c>
      <c r="N59" s="18">
        <v>3599.96</v>
      </c>
      <c r="V59" s="27">
        <f t="shared" si="0"/>
        <v>24</v>
      </c>
      <c r="AB59" s="27" t="str">
        <f t="shared" si="2"/>
        <v>PM</v>
      </c>
    </row>
    <row r="60" spans="1:28" ht="18" customHeight="1" x14ac:dyDescent="0.3">
      <c r="A60" s="15" t="s">
        <v>177</v>
      </c>
      <c r="B60" s="16">
        <v>45472</v>
      </c>
      <c r="C60" s="8" t="s">
        <v>120</v>
      </c>
      <c r="D60" s="8" t="s">
        <v>121</v>
      </c>
      <c r="E60" s="8" t="s">
        <v>44</v>
      </c>
      <c r="F60" s="8" t="s">
        <v>45</v>
      </c>
      <c r="G60" s="8" t="s">
        <v>46</v>
      </c>
      <c r="H60" s="17">
        <v>1</v>
      </c>
      <c r="I60" s="17">
        <v>149.99</v>
      </c>
      <c r="J60" s="8" t="s">
        <v>34</v>
      </c>
      <c r="K60" s="8" t="s">
        <v>63</v>
      </c>
      <c r="L60" s="8" t="s">
        <v>22</v>
      </c>
      <c r="M60" s="16">
        <v>44851</v>
      </c>
      <c r="N60" s="18">
        <v>149.99</v>
      </c>
      <c r="V60" s="27">
        <f t="shared" si="0"/>
        <v>35</v>
      </c>
      <c r="AB60" s="27" t="str">
        <f t="shared" si="2"/>
        <v>HR</v>
      </c>
    </row>
    <row r="61" spans="1:28" ht="18" customHeight="1" x14ac:dyDescent="0.3">
      <c r="A61" s="15" t="s">
        <v>178</v>
      </c>
      <c r="B61" s="16">
        <v>45474</v>
      </c>
      <c r="C61" s="8" t="s">
        <v>132</v>
      </c>
      <c r="D61" s="8" t="s">
        <v>133</v>
      </c>
      <c r="E61" s="8" t="s">
        <v>117</v>
      </c>
      <c r="F61" s="8" t="s">
        <v>118</v>
      </c>
      <c r="G61" s="8" t="s">
        <v>19</v>
      </c>
      <c r="H61" s="17">
        <v>2</v>
      </c>
      <c r="I61" s="17">
        <v>89.99</v>
      </c>
      <c r="J61" s="8" t="s">
        <v>34</v>
      </c>
      <c r="K61" s="8" t="s">
        <v>21</v>
      </c>
      <c r="L61" s="8" t="s">
        <v>27</v>
      </c>
      <c r="M61" s="16">
        <v>45275</v>
      </c>
      <c r="N61" s="18">
        <v>179.98</v>
      </c>
      <c r="V61" s="27">
        <f t="shared" si="0"/>
        <v>34</v>
      </c>
      <c r="AB61" s="27" t="str">
        <f t="shared" si="2"/>
        <v>EW</v>
      </c>
    </row>
    <row r="62" spans="1:28" ht="18" customHeight="1" x14ac:dyDescent="0.3">
      <c r="A62" s="15" t="s">
        <v>179</v>
      </c>
      <c r="B62" s="16">
        <v>45475</v>
      </c>
      <c r="C62" s="8" t="s">
        <v>55</v>
      </c>
      <c r="D62" s="8" t="s">
        <v>56</v>
      </c>
      <c r="E62" s="8" t="s">
        <v>117</v>
      </c>
      <c r="F62" s="8" t="s">
        <v>118</v>
      </c>
      <c r="G62" s="8" t="s">
        <v>19</v>
      </c>
      <c r="H62" s="17">
        <v>1</v>
      </c>
      <c r="I62" s="17">
        <v>89.99</v>
      </c>
      <c r="J62" s="8" t="s">
        <v>34</v>
      </c>
      <c r="K62" s="8" t="s">
        <v>50</v>
      </c>
      <c r="L62" s="8" t="s">
        <v>36</v>
      </c>
      <c r="M62" s="16">
        <v>44802</v>
      </c>
      <c r="N62" s="18">
        <v>89.99</v>
      </c>
      <c r="V62" s="27">
        <f t="shared" si="0"/>
        <v>34</v>
      </c>
      <c r="AB62" s="27" t="str">
        <f t="shared" si="2"/>
        <v>CA</v>
      </c>
    </row>
    <row r="63" spans="1:28" ht="18" customHeight="1" x14ac:dyDescent="0.3">
      <c r="A63" s="15" t="s">
        <v>180</v>
      </c>
      <c r="B63" s="16">
        <v>45476</v>
      </c>
      <c r="C63" s="8" t="s">
        <v>68</v>
      </c>
      <c r="D63" s="8" t="s">
        <v>69</v>
      </c>
      <c r="E63" s="8" t="s">
        <v>117</v>
      </c>
      <c r="F63" s="8" t="s">
        <v>118</v>
      </c>
      <c r="G63" s="8" t="s">
        <v>19</v>
      </c>
      <c r="H63" s="17">
        <v>1</v>
      </c>
      <c r="I63" s="17">
        <v>89.99</v>
      </c>
      <c r="J63" s="8" t="s">
        <v>20</v>
      </c>
      <c r="K63" s="8" t="s">
        <v>35</v>
      </c>
      <c r="L63" s="8" t="s">
        <v>36</v>
      </c>
      <c r="M63" s="16">
        <v>44611</v>
      </c>
      <c r="N63" s="18">
        <v>89.99</v>
      </c>
      <c r="V63" s="27">
        <f t="shared" si="0"/>
        <v>34</v>
      </c>
      <c r="AB63" s="27" t="str">
        <f t="shared" si="2"/>
        <v>SG</v>
      </c>
    </row>
    <row r="64" spans="1:28" ht="18" customHeight="1" x14ac:dyDescent="0.3">
      <c r="A64" s="15" t="s">
        <v>181</v>
      </c>
      <c r="B64" s="16">
        <v>45476</v>
      </c>
      <c r="C64" s="8" t="s">
        <v>182</v>
      </c>
      <c r="D64" s="8" t="s">
        <v>183</v>
      </c>
      <c r="E64" s="8" t="s">
        <v>114</v>
      </c>
      <c r="F64" s="8" t="s">
        <v>115</v>
      </c>
      <c r="G64" s="8" t="s">
        <v>33</v>
      </c>
      <c r="H64" s="17">
        <v>5</v>
      </c>
      <c r="I64" s="17">
        <v>79.989999999999995</v>
      </c>
      <c r="J64" s="8" t="s">
        <v>57</v>
      </c>
      <c r="K64" s="8" t="s">
        <v>21</v>
      </c>
      <c r="L64" s="8" t="s">
        <v>22</v>
      </c>
      <c r="M64" s="16">
        <v>44981</v>
      </c>
      <c r="N64" s="18">
        <v>399.95</v>
      </c>
      <c r="V64" s="27">
        <f t="shared" si="0"/>
        <v>14</v>
      </c>
      <c r="AB64" s="27" t="str">
        <f t="shared" si="2"/>
        <v>DM</v>
      </c>
    </row>
    <row r="65" spans="1:28" ht="18" customHeight="1" x14ac:dyDescent="0.3">
      <c r="A65" s="15" t="s">
        <v>184</v>
      </c>
      <c r="B65" s="16">
        <v>45481</v>
      </c>
      <c r="C65" s="8" t="s">
        <v>185</v>
      </c>
      <c r="D65" s="8" t="s">
        <v>186</v>
      </c>
      <c r="E65" s="8" t="s">
        <v>44</v>
      </c>
      <c r="F65" s="8" t="s">
        <v>45</v>
      </c>
      <c r="G65" s="8" t="s">
        <v>46</v>
      </c>
      <c r="H65" s="17">
        <v>1</v>
      </c>
      <c r="I65" s="17">
        <v>149.99</v>
      </c>
      <c r="J65" s="8" t="s">
        <v>34</v>
      </c>
      <c r="K65" s="8" t="s">
        <v>40</v>
      </c>
      <c r="L65" s="8" t="s">
        <v>22</v>
      </c>
      <c r="M65" s="16">
        <v>44421</v>
      </c>
      <c r="N65" s="18">
        <v>149.99</v>
      </c>
      <c r="V65" s="27">
        <f t="shared" si="0"/>
        <v>35</v>
      </c>
      <c r="AB65" s="27" t="str">
        <f t="shared" si="2"/>
        <v>MW</v>
      </c>
    </row>
    <row r="66" spans="1:28" ht="18" customHeight="1" x14ac:dyDescent="0.3">
      <c r="A66" s="15" t="s">
        <v>187</v>
      </c>
      <c r="B66" s="16">
        <v>45481</v>
      </c>
      <c r="C66" s="8" t="s">
        <v>42</v>
      </c>
      <c r="D66" s="8" t="s">
        <v>43</v>
      </c>
      <c r="E66" s="8" t="s">
        <v>80</v>
      </c>
      <c r="F66" s="8" t="s">
        <v>81</v>
      </c>
      <c r="G66" s="8" t="s">
        <v>19</v>
      </c>
      <c r="H66" s="17">
        <v>2</v>
      </c>
      <c r="I66" s="17">
        <v>699.99</v>
      </c>
      <c r="J66" s="8" t="s">
        <v>34</v>
      </c>
      <c r="K66" s="8" t="s">
        <v>63</v>
      </c>
      <c r="L66" s="8" t="s">
        <v>27</v>
      </c>
      <c r="M66" s="16">
        <v>45389</v>
      </c>
      <c r="N66" s="18">
        <v>1399.98</v>
      </c>
      <c r="V66" s="27">
        <f t="shared" si="0"/>
        <v>30</v>
      </c>
      <c r="AB66" s="27" t="str">
        <f t="shared" si="2"/>
        <v>MB</v>
      </c>
    </row>
    <row r="67" spans="1:28" ht="18" customHeight="1" x14ac:dyDescent="0.3">
      <c r="A67" s="15" t="s">
        <v>188</v>
      </c>
      <c r="B67" s="16">
        <v>45481</v>
      </c>
      <c r="C67" s="8" t="s">
        <v>96</v>
      </c>
      <c r="D67" s="8" t="s">
        <v>97</v>
      </c>
      <c r="E67" s="8" t="s">
        <v>117</v>
      </c>
      <c r="F67" s="8" t="s">
        <v>118</v>
      </c>
      <c r="G67" s="8" t="s">
        <v>19</v>
      </c>
      <c r="H67" s="17">
        <v>5</v>
      </c>
      <c r="I67" s="17">
        <v>89.99</v>
      </c>
      <c r="J67" s="8" t="s">
        <v>57</v>
      </c>
      <c r="K67" s="8" t="s">
        <v>40</v>
      </c>
      <c r="L67" s="8" t="s">
        <v>27</v>
      </c>
      <c r="M67" s="16">
        <v>45161</v>
      </c>
      <c r="N67" s="18">
        <v>449.95</v>
      </c>
      <c r="V67" s="27">
        <f t="shared" ref="V67:V130" si="3">COUNTIF($F:$F,F67)</f>
        <v>34</v>
      </c>
      <c r="AB67" s="27" t="str">
        <f t="shared" ref="AB67:AB130" si="4">UPPER(LEFT(D67,1)&amp;MID(D67,FIND(" ",D67)+1,1))</f>
        <v>BY</v>
      </c>
    </row>
    <row r="68" spans="1:28" ht="18" customHeight="1" x14ac:dyDescent="0.3">
      <c r="A68" s="15" t="s">
        <v>189</v>
      </c>
      <c r="B68" s="16">
        <v>45482</v>
      </c>
      <c r="C68" s="8" t="s">
        <v>171</v>
      </c>
      <c r="D68" s="8" t="s">
        <v>172</v>
      </c>
      <c r="E68" s="8" t="s">
        <v>31</v>
      </c>
      <c r="F68" s="8" t="s">
        <v>32</v>
      </c>
      <c r="G68" s="8" t="s">
        <v>33</v>
      </c>
      <c r="H68" s="17">
        <v>4</v>
      </c>
      <c r="I68" s="17">
        <v>59.99</v>
      </c>
      <c r="J68" s="8" t="s">
        <v>20</v>
      </c>
      <c r="K68" s="8" t="s">
        <v>35</v>
      </c>
      <c r="L68" s="8" t="s">
        <v>36</v>
      </c>
      <c r="M68" s="16">
        <v>44509</v>
      </c>
      <c r="N68" s="18">
        <v>239.96</v>
      </c>
      <c r="V68" s="27">
        <f t="shared" si="3"/>
        <v>29</v>
      </c>
      <c r="AB68" s="27" t="str">
        <f t="shared" si="4"/>
        <v>RR</v>
      </c>
    </row>
    <row r="69" spans="1:28" ht="18" customHeight="1" x14ac:dyDescent="0.3">
      <c r="A69" s="15" t="s">
        <v>190</v>
      </c>
      <c r="B69" s="16">
        <v>45484</v>
      </c>
      <c r="C69" s="8" t="s">
        <v>24</v>
      </c>
      <c r="D69" s="8" t="s">
        <v>25</v>
      </c>
      <c r="E69" s="8" t="s">
        <v>52</v>
      </c>
      <c r="F69" s="8" t="s">
        <v>53</v>
      </c>
      <c r="G69" s="8" t="s">
        <v>19</v>
      </c>
      <c r="H69" s="17">
        <v>1</v>
      </c>
      <c r="I69" s="17">
        <v>149.99</v>
      </c>
      <c r="J69" s="8" t="s">
        <v>20</v>
      </c>
      <c r="K69" s="8" t="s">
        <v>21</v>
      </c>
      <c r="L69" s="8" t="s">
        <v>36</v>
      </c>
      <c r="M69" s="16">
        <v>44909</v>
      </c>
      <c r="N69" s="18">
        <v>149.99</v>
      </c>
      <c r="V69" s="27">
        <f t="shared" si="3"/>
        <v>16</v>
      </c>
      <c r="AB69" s="27" t="str">
        <f t="shared" si="4"/>
        <v>JJ</v>
      </c>
    </row>
    <row r="70" spans="1:28" ht="18" customHeight="1" x14ac:dyDescent="0.3">
      <c r="A70" s="15" t="s">
        <v>191</v>
      </c>
      <c r="B70" s="16">
        <v>45484</v>
      </c>
      <c r="C70" s="8" t="s">
        <v>192</v>
      </c>
      <c r="D70" s="8" t="s">
        <v>193</v>
      </c>
      <c r="E70" s="8" t="s">
        <v>105</v>
      </c>
      <c r="F70" s="8" t="s">
        <v>106</v>
      </c>
      <c r="G70" s="8" t="s">
        <v>46</v>
      </c>
      <c r="H70" s="17">
        <v>1</v>
      </c>
      <c r="I70" s="17">
        <v>299.99</v>
      </c>
      <c r="J70" s="8" t="s">
        <v>26</v>
      </c>
      <c r="K70" s="8" t="s">
        <v>40</v>
      </c>
      <c r="L70" s="8" t="s">
        <v>27</v>
      </c>
      <c r="M70" s="16">
        <v>44891</v>
      </c>
      <c r="N70" s="18">
        <v>299.99</v>
      </c>
      <c r="V70" s="27">
        <f t="shared" si="3"/>
        <v>26</v>
      </c>
      <c r="AB70" s="27" t="str">
        <f t="shared" si="4"/>
        <v>FT</v>
      </c>
    </row>
    <row r="71" spans="1:28" ht="18" customHeight="1" x14ac:dyDescent="0.3">
      <c r="A71" s="15" t="s">
        <v>194</v>
      </c>
      <c r="B71" s="16">
        <v>45487</v>
      </c>
      <c r="C71" s="8" t="s">
        <v>192</v>
      </c>
      <c r="D71" s="8" t="s">
        <v>193</v>
      </c>
      <c r="E71" s="8" t="s">
        <v>126</v>
      </c>
      <c r="F71" s="8" t="s">
        <v>127</v>
      </c>
      <c r="G71" s="8" t="s">
        <v>46</v>
      </c>
      <c r="H71" s="17">
        <v>2</v>
      </c>
      <c r="I71" s="17">
        <v>199.99</v>
      </c>
      <c r="J71" s="8" t="s">
        <v>20</v>
      </c>
      <c r="K71" s="8" t="s">
        <v>40</v>
      </c>
      <c r="L71" s="8" t="s">
        <v>22</v>
      </c>
      <c r="M71" s="16">
        <v>44541</v>
      </c>
      <c r="N71" s="18">
        <v>399.98</v>
      </c>
      <c r="V71" s="27">
        <f t="shared" si="3"/>
        <v>15</v>
      </c>
      <c r="AB71" s="27" t="str">
        <f t="shared" si="4"/>
        <v>FT</v>
      </c>
    </row>
    <row r="72" spans="1:28" ht="18" customHeight="1" x14ac:dyDescent="0.3">
      <c r="A72" s="15" t="s">
        <v>195</v>
      </c>
      <c r="B72" s="16">
        <v>45490</v>
      </c>
      <c r="C72" s="8" t="s">
        <v>196</v>
      </c>
      <c r="D72" s="8" t="s">
        <v>197</v>
      </c>
      <c r="E72" s="8" t="s">
        <v>31</v>
      </c>
      <c r="F72" s="8" t="s">
        <v>32</v>
      </c>
      <c r="G72" s="8" t="s">
        <v>33</v>
      </c>
      <c r="H72" s="17">
        <v>3</v>
      </c>
      <c r="I72" s="17">
        <v>59.99</v>
      </c>
      <c r="J72" s="8" t="s">
        <v>26</v>
      </c>
      <c r="K72" s="8" t="s">
        <v>50</v>
      </c>
      <c r="L72" s="8" t="s">
        <v>22</v>
      </c>
      <c r="M72" s="16">
        <v>45130</v>
      </c>
      <c r="N72" s="18">
        <v>179.97</v>
      </c>
      <c r="V72" s="27">
        <f t="shared" si="3"/>
        <v>29</v>
      </c>
      <c r="AB72" s="27" t="str">
        <f t="shared" si="4"/>
        <v>GM</v>
      </c>
    </row>
    <row r="73" spans="1:28" ht="18" customHeight="1" x14ac:dyDescent="0.3">
      <c r="A73" s="15" t="s">
        <v>198</v>
      </c>
      <c r="B73" s="16">
        <v>45490</v>
      </c>
      <c r="C73" s="8" t="s">
        <v>72</v>
      </c>
      <c r="D73" s="8" t="s">
        <v>73</v>
      </c>
      <c r="E73" s="8" t="s">
        <v>44</v>
      </c>
      <c r="F73" s="8" t="s">
        <v>45</v>
      </c>
      <c r="G73" s="8" t="s">
        <v>46</v>
      </c>
      <c r="H73" s="17">
        <v>3</v>
      </c>
      <c r="I73" s="17">
        <v>149.99</v>
      </c>
      <c r="J73" s="8" t="s">
        <v>20</v>
      </c>
      <c r="K73" s="8" t="s">
        <v>21</v>
      </c>
      <c r="L73" s="8" t="s">
        <v>27</v>
      </c>
      <c r="M73" s="16">
        <v>45199</v>
      </c>
      <c r="N73" s="18">
        <v>449.97</v>
      </c>
      <c r="V73" s="27">
        <f t="shared" si="3"/>
        <v>35</v>
      </c>
      <c r="AB73" s="27" t="str">
        <f t="shared" si="4"/>
        <v>PR</v>
      </c>
    </row>
    <row r="74" spans="1:28" ht="18" customHeight="1" x14ac:dyDescent="0.3">
      <c r="A74" s="15" t="s">
        <v>199</v>
      </c>
      <c r="B74" s="16">
        <v>45491</v>
      </c>
      <c r="C74" s="8" t="s">
        <v>65</v>
      </c>
      <c r="D74" s="8" t="s">
        <v>66</v>
      </c>
      <c r="E74" s="8" t="s">
        <v>126</v>
      </c>
      <c r="F74" s="8" t="s">
        <v>127</v>
      </c>
      <c r="G74" s="8" t="s">
        <v>46</v>
      </c>
      <c r="H74" s="17">
        <v>3</v>
      </c>
      <c r="I74" s="17">
        <v>199.99</v>
      </c>
      <c r="J74" s="8" t="s">
        <v>20</v>
      </c>
      <c r="K74" s="8" t="s">
        <v>40</v>
      </c>
      <c r="L74" s="8" t="s">
        <v>27</v>
      </c>
      <c r="M74" s="16">
        <v>45254</v>
      </c>
      <c r="N74" s="18">
        <v>599.97</v>
      </c>
      <c r="V74" s="27">
        <f t="shared" si="3"/>
        <v>15</v>
      </c>
      <c r="AB74" s="27" t="str">
        <f t="shared" si="4"/>
        <v>KH</v>
      </c>
    </row>
    <row r="75" spans="1:28" ht="18" customHeight="1" x14ac:dyDescent="0.3">
      <c r="A75" s="15" t="s">
        <v>200</v>
      </c>
      <c r="B75" s="16">
        <v>45496</v>
      </c>
      <c r="C75" s="8" t="s">
        <v>150</v>
      </c>
      <c r="D75" s="8" t="s">
        <v>151</v>
      </c>
      <c r="E75" s="8" t="s">
        <v>61</v>
      </c>
      <c r="F75" s="8" t="s">
        <v>62</v>
      </c>
      <c r="G75" s="8" t="s">
        <v>19</v>
      </c>
      <c r="H75" s="17">
        <v>1</v>
      </c>
      <c r="I75" s="17">
        <v>899.99</v>
      </c>
      <c r="J75" s="8" t="s">
        <v>20</v>
      </c>
      <c r="K75" s="8" t="s">
        <v>21</v>
      </c>
      <c r="L75" s="8" t="s">
        <v>36</v>
      </c>
      <c r="M75" s="16">
        <v>45179</v>
      </c>
      <c r="N75" s="18">
        <v>899.99</v>
      </c>
      <c r="V75" s="27">
        <f t="shared" si="3"/>
        <v>24</v>
      </c>
      <c r="AB75" s="27" t="str">
        <f t="shared" si="4"/>
        <v>SB</v>
      </c>
    </row>
    <row r="76" spans="1:28" ht="18" customHeight="1" x14ac:dyDescent="0.3">
      <c r="A76" s="15" t="s">
        <v>201</v>
      </c>
      <c r="B76" s="16">
        <v>45497</v>
      </c>
      <c r="C76" s="8" t="s">
        <v>24</v>
      </c>
      <c r="D76" s="8" t="s">
        <v>25</v>
      </c>
      <c r="E76" s="8" t="s">
        <v>61</v>
      </c>
      <c r="F76" s="8" t="s">
        <v>62</v>
      </c>
      <c r="G76" s="8" t="s">
        <v>19</v>
      </c>
      <c r="H76" s="17">
        <v>5</v>
      </c>
      <c r="I76" s="17">
        <v>899.99</v>
      </c>
      <c r="J76" s="8" t="s">
        <v>57</v>
      </c>
      <c r="K76" s="8" t="s">
        <v>35</v>
      </c>
      <c r="L76" s="8" t="s">
        <v>36</v>
      </c>
      <c r="M76" s="16">
        <v>44899</v>
      </c>
      <c r="N76" s="18">
        <v>4499.95</v>
      </c>
      <c r="V76" s="27">
        <f t="shared" si="3"/>
        <v>24</v>
      </c>
      <c r="AB76" s="27" t="str">
        <f t="shared" si="4"/>
        <v>JJ</v>
      </c>
    </row>
    <row r="77" spans="1:28" ht="18" customHeight="1" x14ac:dyDescent="0.3">
      <c r="A77" s="15" t="s">
        <v>202</v>
      </c>
      <c r="B77" s="16">
        <v>45498</v>
      </c>
      <c r="C77" s="8" t="s">
        <v>182</v>
      </c>
      <c r="D77" s="8" t="s">
        <v>183</v>
      </c>
      <c r="E77" s="8" t="s">
        <v>31</v>
      </c>
      <c r="F77" s="8" t="s">
        <v>32</v>
      </c>
      <c r="G77" s="8" t="s">
        <v>33</v>
      </c>
      <c r="H77" s="17">
        <v>2</v>
      </c>
      <c r="I77" s="17">
        <v>59.99</v>
      </c>
      <c r="J77" s="8" t="s">
        <v>20</v>
      </c>
      <c r="K77" s="8" t="s">
        <v>40</v>
      </c>
      <c r="L77" s="8" t="s">
        <v>36</v>
      </c>
      <c r="M77" s="16">
        <v>45152</v>
      </c>
      <c r="N77" s="18">
        <v>119.98</v>
      </c>
      <c r="V77" s="27">
        <f t="shared" si="3"/>
        <v>29</v>
      </c>
      <c r="AB77" s="27" t="str">
        <f t="shared" si="4"/>
        <v>DM</v>
      </c>
    </row>
    <row r="78" spans="1:28" ht="18" customHeight="1" x14ac:dyDescent="0.3">
      <c r="A78" s="15" t="s">
        <v>203</v>
      </c>
      <c r="B78" s="16">
        <v>45498</v>
      </c>
      <c r="C78" s="8" t="s">
        <v>196</v>
      </c>
      <c r="D78" s="8" t="s">
        <v>197</v>
      </c>
      <c r="E78" s="8" t="s">
        <v>17</v>
      </c>
      <c r="F78" s="8" t="s">
        <v>18</v>
      </c>
      <c r="G78" s="8" t="s">
        <v>19</v>
      </c>
      <c r="H78" s="17">
        <v>4</v>
      </c>
      <c r="I78" s="17">
        <v>249.99</v>
      </c>
      <c r="J78" s="8" t="s">
        <v>57</v>
      </c>
      <c r="K78" s="8" t="s">
        <v>21</v>
      </c>
      <c r="L78" s="8" t="s">
        <v>36</v>
      </c>
      <c r="M78" s="16">
        <v>45127</v>
      </c>
      <c r="N78" s="18">
        <v>999.96</v>
      </c>
      <c r="V78" s="27">
        <f t="shared" si="3"/>
        <v>26</v>
      </c>
      <c r="AB78" s="27" t="str">
        <f t="shared" si="4"/>
        <v>GM</v>
      </c>
    </row>
    <row r="79" spans="1:28" ht="18" customHeight="1" x14ac:dyDescent="0.3">
      <c r="A79" s="15" t="s">
        <v>204</v>
      </c>
      <c r="B79" s="16">
        <v>45500</v>
      </c>
      <c r="C79" s="8" t="s">
        <v>96</v>
      </c>
      <c r="D79" s="8" t="s">
        <v>97</v>
      </c>
      <c r="E79" s="8" t="s">
        <v>17</v>
      </c>
      <c r="F79" s="8" t="s">
        <v>18</v>
      </c>
      <c r="G79" s="8" t="s">
        <v>19</v>
      </c>
      <c r="H79" s="17">
        <v>2</v>
      </c>
      <c r="I79" s="17">
        <v>249.99</v>
      </c>
      <c r="J79" s="8" t="s">
        <v>20</v>
      </c>
      <c r="K79" s="8" t="s">
        <v>40</v>
      </c>
      <c r="L79" s="8" t="s">
        <v>27</v>
      </c>
      <c r="M79" s="16">
        <v>45164</v>
      </c>
      <c r="N79" s="18">
        <v>499.98</v>
      </c>
      <c r="V79" s="27">
        <f t="shared" si="3"/>
        <v>26</v>
      </c>
      <c r="AB79" s="27" t="str">
        <f t="shared" si="4"/>
        <v>BY</v>
      </c>
    </row>
    <row r="80" spans="1:28" ht="18" customHeight="1" x14ac:dyDescent="0.3">
      <c r="A80" s="15" t="s">
        <v>205</v>
      </c>
      <c r="B80" s="16">
        <v>45500</v>
      </c>
      <c r="C80" s="8" t="s">
        <v>147</v>
      </c>
      <c r="D80" s="8" t="s">
        <v>148</v>
      </c>
      <c r="E80" s="8" t="s">
        <v>105</v>
      </c>
      <c r="F80" s="8" t="s">
        <v>106</v>
      </c>
      <c r="G80" s="8" t="s">
        <v>46</v>
      </c>
      <c r="H80" s="17">
        <v>1</v>
      </c>
      <c r="I80" s="17">
        <v>299.99</v>
      </c>
      <c r="J80" s="8" t="s">
        <v>20</v>
      </c>
      <c r="K80" s="8" t="s">
        <v>35</v>
      </c>
      <c r="L80" s="8" t="s">
        <v>22</v>
      </c>
      <c r="M80" s="16">
        <v>44982</v>
      </c>
      <c r="N80" s="18">
        <v>299.99</v>
      </c>
      <c r="V80" s="27">
        <f t="shared" si="3"/>
        <v>26</v>
      </c>
      <c r="AB80" s="27" t="str">
        <f t="shared" si="4"/>
        <v>DK</v>
      </c>
    </row>
    <row r="81" spans="1:28" ht="18" customHeight="1" x14ac:dyDescent="0.3">
      <c r="A81" s="15" t="s">
        <v>206</v>
      </c>
      <c r="B81" s="16">
        <v>45501</v>
      </c>
      <c r="C81" s="8" t="s">
        <v>86</v>
      </c>
      <c r="D81" s="8" t="s">
        <v>87</v>
      </c>
      <c r="E81" s="8" t="s">
        <v>117</v>
      </c>
      <c r="F81" s="8" t="s">
        <v>118</v>
      </c>
      <c r="G81" s="8" t="s">
        <v>19</v>
      </c>
      <c r="H81" s="17">
        <v>2</v>
      </c>
      <c r="I81" s="17">
        <v>89.99</v>
      </c>
      <c r="J81" s="8" t="s">
        <v>34</v>
      </c>
      <c r="K81" s="8" t="s">
        <v>35</v>
      </c>
      <c r="L81" s="8" t="s">
        <v>22</v>
      </c>
      <c r="M81" s="16">
        <v>44976</v>
      </c>
      <c r="N81" s="18">
        <v>179.98</v>
      </c>
      <c r="V81" s="27">
        <f t="shared" si="3"/>
        <v>34</v>
      </c>
      <c r="AB81" s="27" t="str">
        <f t="shared" si="4"/>
        <v>MC</v>
      </c>
    </row>
    <row r="82" spans="1:28" ht="18" customHeight="1" x14ac:dyDescent="0.3">
      <c r="A82" s="15" t="s">
        <v>207</v>
      </c>
      <c r="B82" s="16">
        <v>45501</v>
      </c>
      <c r="C82" s="8" t="s">
        <v>147</v>
      </c>
      <c r="D82" s="8" t="s">
        <v>148</v>
      </c>
      <c r="E82" s="8" t="s">
        <v>105</v>
      </c>
      <c r="F82" s="8" t="s">
        <v>106</v>
      </c>
      <c r="G82" s="8" t="s">
        <v>46</v>
      </c>
      <c r="H82" s="17">
        <v>3</v>
      </c>
      <c r="I82" s="17">
        <v>299.99</v>
      </c>
      <c r="J82" s="8" t="s">
        <v>20</v>
      </c>
      <c r="K82" s="8" t="s">
        <v>21</v>
      </c>
      <c r="L82" s="8" t="s">
        <v>22</v>
      </c>
      <c r="M82" s="16">
        <v>44732</v>
      </c>
      <c r="N82" s="18">
        <v>899.97</v>
      </c>
      <c r="V82" s="27">
        <f t="shared" si="3"/>
        <v>26</v>
      </c>
      <c r="AB82" s="27" t="str">
        <f t="shared" si="4"/>
        <v>DK</v>
      </c>
    </row>
    <row r="83" spans="1:28" ht="18" customHeight="1" x14ac:dyDescent="0.3">
      <c r="A83" s="15" t="s">
        <v>208</v>
      </c>
      <c r="B83" s="16">
        <v>45503</v>
      </c>
      <c r="C83" s="8" t="s">
        <v>86</v>
      </c>
      <c r="D83" s="8" t="s">
        <v>87</v>
      </c>
      <c r="E83" s="8" t="s">
        <v>80</v>
      </c>
      <c r="F83" s="8" t="s">
        <v>81</v>
      </c>
      <c r="G83" s="8" t="s">
        <v>19</v>
      </c>
      <c r="H83" s="17">
        <v>2</v>
      </c>
      <c r="I83" s="17">
        <v>699.99</v>
      </c>
      <c r="J83" s="8" t="s">
        <v>26</v>
      </c>
      <c r="K83" s="8" t="s">
        <v>40</v>
      </c>
      <c r="L83" s="8" t="s">
        <v>27</v>
      </c>
      <c r="M83" s="16">
        <v>44999</v>
      </c>
      <c r="N83" s="18">
        <v>1399.98</v>
      </c>
      <c r="V83" s="27">
        <f t="shared" si="3"/>
        <v>30</v>
      </c>
      <c r="AB83" s="27" t="str">
        <f t="shared" si="4"/>
        <v>MC</v>
      </c>
    </row>
    <row r="84" spans="1:28" ht="18" customHeight="1" x14ac:dyDescent="0.3">
      <c r="A84" s="15" t="s">
        <v>209</v>
      </c>
      <c r="B84" s="16">
        <v>45504</v>
      </c>
      <c r="C84" s="8" t="s">
        <v>120</v>
      </c>
      <c r="D84" s="8" t="s">
        <v>121</v>
      </c>
      <c r="E84" s="8" t="s">
        <v>61</v>
      </c>
      <c r="F84" s="8" t="s">
        <v>62</v>
      </c>
      <c r="G84" s="8" t="s">
        <v>19</v>
      </c>
      <c r="H84" s="17">
        <v>4</v>
      </c>
      <c r="I84" s="17">
        <v>899.99</v>
      </c>
      <c r="J84" s="8" t="s">
        <v>57</v>
      </c>
      <c r="K84" s="8" t="s">
        <v>35</v>
      </c>
      <c r="L84" s="8" t="s">
        <v>36</v>
      </c>
      <c r="M84" s="16">
        <v>44523</v>
      </c>
      <c r="N84" s="18">
        <v>3599.96</v>
      </c>
      <c r="V84" s="27">
        <f t="shared" si="3"/>
        <v>24</v>
      </c>
      <c r="AB84" s="27" t="str">
        <f t="shared" si="4"/>
        <v>HR</v>
      </c>
    </row>
    <row r="85" spans="1:28" ht="18" customHeight="1" x14ac:dyDescent="0.3">
      <c r="A85" s="15" t="s">
        <v>210</v>
      </c>
      <c r="B85" s="16">
        <v>45509</v>
      </c>
      <c r="C85" s="8" t="s">
        <v>211</v>
      </c>
      <c r="D85" s="8" t="s">
        <v>212</v>
      </c>
      <c r="E85" s="8" t="s">
        <v>44</v>
      </c>
      <c r="F85" s="8" t="s">
        <v>45</v>
      </c>
      <c r="G85" s="8" t="s">
        <v>46</v>
      </c>
      <c r="H85" s="17">
        <v>2</v>
      </c>
      <c r="I85" s="17">
        <v>149.99</v>
      </c>
      <c r="J85" s="8" t="s">
        <v>26</v>
      </c>
      <c r="K85" s="8" t="s">
        <v>50</v>
      </c>
      <c r="L85" s="8" t="s">
        <v>22</v>
      </c>
      <c r="M85" s="16">
        <v>44542</v>
      </c>
      <c r="N85" s="18">
        <v>299.98</v>
      </c>
      <c r="V85" s="27">
        <f t="shared" si="3"/>
        <v>35</v>
      </c>
      <c r="AB85" s="27" t="str">
        <f t="shared" si="4"/>
        <v>EH</v>
      </c>
    </row>
    <row r="86" spans="1:28" ht="18" customHeight="1" x14ac:dyDescent="0.3">
      <c r="A86" s="15" t="s">
        <v>213</v>
      </c>
      <c r="B86" s="16">
        <v>45510</v>
      </c>
      <c r="C86" s="8" t="s">
        <v>102</v>
      </c>
      <c r="D86" s="8" t="s">
        <v>103</v>
      </c>
      <c r="E86" s="8" t="s">
        <v>44</v>
      </c>
      <c r="F86" s="8" t="s">
        <v>45</v>
      </c>
      <c r="G86" s="8" t="s">
        <v>46</v>
      </c>
      <c r="H86" s="17">
        <v>2</v>
      </c>
      <c r="I86" s="17">
        <v>149.99</v>
      </c>
      <c r="J86" s="8" t="s">
        <v>57</v>
      </c>
      <c r="K86" s="8" t="s">
        <v>63</v>
      </c>
      <c r="L86" s="8" t="s">
        <v>36</v>
      </c>
      <c r="M86" s="16">
        <v>44667</v>
      </c>
      <c r="N86" s="18">
        <v>299.98</v>
      </c>
      <c r="V86" s="27">
        <f t="shared" si="3"/>
        <v>35</v>
      </c>
      <c r="AB86" s="27" t="str">
        <f t="shared" si="4"/>
        <v>CP</v>
      </c>
    </row>
    <row r="87" spans="1:28" ht="18" customHeight="1" x14ac:dyDescent="0.3">
      <c r="A87" s="15" t="s">
        <v>214</v>
      </c>
      <c r="B87" s="16">
        <v>45513</v>
      </c>
      <c r="C87" s="8" t="s">
        <v>89</v>
      </c>
      <c r="D87" s="8" t="s">
        <v>90</v>
      </c>
      <c r="E87" s="8" t="s">
        <v>117</v>
      </c>
      <c r="F87" s="8" t="s">
        <v>118</v>
      </c>
      <c r="G87" s="8" t="s">
        <v>19</v>
      </c>
      <c r="H87" s="17">
        <v>1</v>
      </c>
      <c r="I87" s="17">
        <v>89.99</v>
      </c>
      <c r="J87" s="8" t="s">
        <v>26</v>
      </c>
      <c r="K87" s="8" t="s">
        <v>40</v>
      </c>
      <c r="L87" s="8" t="s">
        <v>36</v>
      </c>
      <c r="M87" s="16">
        <v>45393</v>
      </c>
      <c r="N87" s="18">
        <v>89.99</v>
      </c>
      <c r="V87" s="27">
        <f t="shared" si="3"/>
        <v>34</v>
      </c>
      <c r="AB87" s="27" t="str">
        <f t="shared" si="4"/>
        <v>MG</v>
      </c>
    </row>
    <row r="88" spans="1:28" ht="18" customHeight="1" x14ac:dyDescent="0.3">
      <c r="A88" s="15" t="s">
        <v>215</v>
      </c>
      <c r="B88" s="16">
        <v>45515</v>
      </c>
      <c r="C88" s="8" t="s">
        <v>86</v>
      </c>
      <c r="D88" s="8" t="s">
        <v>87</v>
      </c>
      <c r="E88" s="8" t="s">
        <v>105</v>
      </c>
      <c r="F88" s="8" t="s">
        <v>106</v>
      </c>
      <c r="G88" s="8" t="s">
        <v>46</v>
      </c>
      <c r="H88" s="17">
        <v>5</v>
      </c>
      <c r="I88" s="17">
        <v>299.99</v>
      </c>
      <c r="J88" s="8" t="s">
        <v>26</v>
      </c>
      <c r="K88" s="8" t="s">
        <v>40</v>
      </c>
      <c r="L88" s="8" t="s">
        <v>22</v>
      </c>
      <c r="M88" s="16">
        <v>44965</v>
      </c>
      <c r="N88" s="18">
        <v>1499.95</v>
      </c>
      <c r="V88" s="27">
        <f t="shared" si="3"/>
        <v>26</v>
      </c>
      <c r="AB88" s="27" t="str">
        <f t="shared" si="4"/>
        <v>MC</v>
      </c>
    </row>
    <row r="89" spans="1:28" ht="18" customHeight="1" x14ac:dyDescent="0.3">
      <c r="A89" s="15" t="s">
        <v>216</v>
      </c>
      <c r="B89" s="16">
        <v>45517</v>
      </c>
      <c r="C89" s="8" t="s">
        <v>182</v>
      </c>
      <c r="D89" s="8" t="s">
        <v>183</v>
      </c>
      <c r="E89" s="8" t="s">
        <v>52</v>
      </c>
      <c r="F89" s="8" t="s">
        <v>53</v>
      </c>
      <c r="G89" s="8" t="s">
        <v>19</v>
      </c>
      <c r="H89" s="17">
        <v>4</v>
      </c>
      <c r="I89" s="17">
        <v>149.99</v>
      </c>
      <c r="J89" s="8" t="s">
        <v>57</v>
      </c>
      <c r="K89" s="8" t="s">
        <v>35</v>
      </c>
      <c r="L89" s="8" t="s">
        <v>27</v>
      </c>
      <c r="M89" s="16">
        <v>44820</v>
      </c>
      <c r="N89" s="18">
        <v>599.96</v>
      </c>
      <c r="V89" s="27">
        <f t="shared" si="3"/>
        <v>16</v>
      </c>
      <c r="AB89" s="27" t="str">
        <f t="shared" si="4"/>
        <v>DM</v>
      </c>
    </row>
    <row r="90" spans="1:28" ht="18" customHeight="1" x14ac:dyDescent="0.3">
      <c r="A90" s="15" t="s">
        <v>217</v>
      </c>
      <c r="B90" s="16">
        <v>45517</v>
      </c>
      <c r="C90" s="8" t="s">
        <v>185</v>
      </c>
      <c r="D90" s="8" t="s">
        <v>186</v>
      </c>
      <c r="E90" s="8" t="s">
        <v>17</v>
      </c>
      <c r="F90" s="8" t="s">
        <v>18</v>
      </c>
      <c r="G90" s="8" t="s">
        <v>19</v>
      </c>
      <c r="H90" s="17">
        <v>5</v>
      </c>
      <c r="I90" s="17">
        <v>249.99</v>
      </c>
      <c r="J90" s="8" t="s">
        <v>34</v>
      </c>
      <c r="K90" s="8" t="s">
        <v>63</v>
      </c>
      <c r="L90" s="8" t="s">
        <v>27</v>
      </c>
      <c r="M90" s="16">
        <v>44782</v>
      </c>
      <c r="N90" s="18">
        <v>1249.95</v>
      </c>
      <c r="V90" s="27">
        <f t="shared" si="3"/>
        <v>26</v>
      </c>
      <c r="AB90" s="27" t="str">
        <f t="shared" si="4"/>
        <v>MW</v>
      </c>
    </row>
    <row r="91" spans="1:28" ht="18" customHeight="1" x14ac:dyDescent="0.3">
      <c r="A91" s="15" t="s">
        <v>218</v>
      </c>
      <c r="B91" s="16">
        <v>45517</v>
      </c>
      <c r="C91" s="8" t="s">
        <v>65</v>
      </c>
      <c r="D91" s="8" t="s">
        <v>66</v>
      </c>
      <c r="E91" s="8" t="s">
        <v>17</v>
      </c>
      <c r="F91" s="8" t="s">
        <v>18</v>
      </c>
      <c r="G91" s="8" t="s">
        <v>19</v>
      </c>
      <c r="H91" s="17">
        <v>3</v>
      </c>
      <c r="I91" s="17">
        <v>249.99</v>
      </c>
      <c r="J91" s="8" t="s">
        <v>34</v>
      </c>
      <c r="K91" s="8" t="s">
        <v>40</v>
      </c>
      <c r="L91" s="8" t="s">
        <v>27</v>
      </c>
      <c r="M91" s="16">
        <v>44465</v>
      </c>
      <c r="N91" s="18">
        <v>749.97</v>
      </c>
      <c r="V91" s="27">
        <f t="shared" si="3"/>
        <v>26</v>
      </c>
      <c r="AB91" s="27" t="str">
        <f t="shared" si="4"/>
        <v>KH</v>
      </c>
    </row>
    <row r="92" spans="1:28" ht="18" customHeight="1" x14ac:dyDescent="0.3">
      <c r="A92" s="15" t="s">
        <v>219</v>
      </c>
      <c r="B92" s="16">
        <v>45517</v>
      </c>
      <c r="C92" s="8" t="s">
        <v>38</v>
      </c>
      <c r="D92" s="8" t="s">
        <v>39</v>
      </c>
      <c r="E92" s="8" t="s">
        <v>126</v>
      </c>
      <c r="F92" s="8" t="s">
        <v>127</v>
      </c>
      <c r="G92" s="8" t="s">
        <v>46</v>
      </c>
      <c r="H92" s="17">
        <v>4</v>
      </c>
      <c r="I92" s="17">
        <v>199.99</v>
      </c>
      <c r="J92" s="8" t="s">
        <v>20</v>
      </c>
      <c r="K92" s="8" t="s">
        <v>40</v>
      </c>
      <c r="L92" s="8" t="s">
        <v>36</v>
      </c>
      <c r="M92" s="16">
        <v>44458</v>
      </c>
      <c r="N92" s="18">
        <v>799.96</v>
      </c>
      <c r="V92" s="27">
        <f t="shared" si="3"/>
        <v>15</v>
      </c>
      <c r="AB92" s="27" t="str">
        <f t="shared" si="4"/>
        <v>KB</v>
      </c>
    </row>
    <row r="93" spans="1:28" ht="18" customHeight="1" x14ac:dyDescent="0.3">
      <c r="A93" s="15" t="s">
        <v>220</v>
      </c>
      <c r="B93" s="16">
        <v>45519</v>
      </c>
      <c r="C93" s="8" t="s">
        <v>158</v>
      </c>
      <c r="D93" s="8" t="s">
        <v>159</v>
      </c>
      <c r="E93" s="8" t="s">
        <v>126</v>
      </c>
      <c r="F93" s="8" t="s">
        <v>127</v>
      </c>
      <c r="G93" s="8" t="s">
        <v>46</v>
      </c>
      <c r="H93" s="17">
        <v>5</v>
      </c>
      <c r="I93" s="17">
        <v>199.99</v>
      </c>
      <c r="J93" s="8" t="s">
        <v>20</v>
      </c>
      <c r="K93" s="8" t="s">
        <v>40</v>
      </c>
      <c r="L93" s="8" t="s">
        <v>27</v>
      </c>
      <c r="M93" s="16">
        <v>44991</v>
      </c>
      <c r="N93" s="18">
        <v>999.95</v>
      </c>
      <c r="V93" s="27">
        <f t="shared" si="3"/>
        <v>15</v>
      </c>
      <c r="AB93" s="27" t="str">
        <f t="shared" si="4"/>
        <v>BC</v>
      </c>
    </row>
    <row r="94" spans="1:28" ht="18" customHeight="1" x14ac:dyDescent="0.3">
      <c r="A94" s="15" t="s">
        <v>221</v>
      </c>
      <c r="B94" s="16">
        <v>45522</v>
      </c>
      <c r="C94" s="8" t="s">
        <v>86</v>
      </c>
      <c r="D94" s="8" t="s">
        <v>87</v>
      </c>
      <c r="E94" s="8" t="s">
        <v>117</v>
      </c>
      <c r="F94" s="8" t="s">
        <v>118</v>
      </c>
      <c r="G94" s="8" t="s">
        <v>19</v>
      </c>
      <c r="H94" s="17">
        <v>2</v>
      </c>
      <c r="I94" s="17">
        <v>89.99</v>
      </c>
      <c r="J94" s="8" t="s">
        <v>20</v>
      </c>
      <c r="K94" s="8" t="s">
        <v>63</v>
      </c>
      <c r="L94" s="8" t="s">
        <v>27</v>
      </c>
      <c r="M94" s="16">
        <v>44972</v>
      </c>
      <c r="N94" s="18">
        <v>179.98</v>
      </c>
      <c r="V94" s="27">
        <f t="shared" si="3"/>
        <v>34</v>
      </c>
      <c r="AB94" s="27" t="str">
        <f t="shared" si="4"/>
        <v>MC</v>
      </c>
    </row>
    <row r="95" spans="1:28" ht="18" customHeight="1" x14ac:dyDescent="0.3">
      <c r="A95" s="15" t="s">
        <v>222</v>
      </c>
      <c r="B95" s="16">
        <v>45523</v>
      </c>
      <c r="C95" s="8" t="s">
        <v>196</v>
      </c>
      <c r="D95" s="8" t="s">
        <v>197</v>
      </c>
      <c r="E95" s="8" t="s">
        <v>61</v>
      </c>
      <c r="F95" s="8" t="s">
        <v>62</v>
      </c>
      <c r="G95" s="8" t="s">
        <v>19</v>
      </c>
      <c r="H95" s="17">
        <v>5</v>
      </c>
      <c r="I95" s="17">
        <v>899.99</v>
      </c>
      <c r="J95" s="8" t="s">
        <v>57</v>
      </c>
      <c r="K95" s="8" t="s">
        <v>63</v>
      </c>
      <c r="L95" s="8" t="s">
        <v>22</v>
      </c>
      <c r="M95" s="16">
        <v>44526</v>
      </c>
      <c r="N95" s="18">
        <v>4499.95</v>
      </c>
      <c r="V95" s="27">
        <f t="shared" si="3"/>
        <v>24</v>
      </c>
      <c r="AB95" s="27" t="str">
        <f t="shared" si="4"/>
        <v>GM</v>
      </c>
    </row>
    <row r="96" spans="1:28" ht="18" customHeight="1" x14ac:dyDescent="0.3">
      <c r="A96" s="15" t="s">
        <v>223</v>
      </c>
      <c r="B96" s="16">
        <v>45523</v>
      </c>
      <c r="C96" s="8" t="s">
        <v>108</v>
      </c>
      <c r="D96" s="8" t="s">
        <v>109</v>
      </c>
      <c r="E96" s="8" t="s">
        <v>52</v>
      </c>
      <c r="F96" s="8" t="s">
        <v>53</v>
      </c>
      <c r="G96" s="8" t="s">
        <v>19</v>
      </c>
      <c r="H96" s="17">
        <v>3</v>
      </c>
      <c r="I96" s="17">
        <v>149.99</v>
      </c>
      <c r="J96" s="8" t="s">
        <v>34</v>
      </c>
      <c r="K96" s="8" t="s">
        <v>63</v>
      </c>
      <c r="L96" s="8" t="s">
        <v>22</v>
      </c>
      <c r="M96" s="16">
        <v>44574</v>
      </c>
      <c r="N96" s="18">
        <v>449.97</v>
      </c>
      <c r="V96" s="27">
        <f t="shared" si="3"/>
        <v>16</v>
      </c>
      <c r="AB96" s="27" t="str">
        <f t="shared" si="4"/>
        <v>NC</v>
      </c>
    </row>
    <row r="97" spans="1:28" ht="18" customHeight="1" x14ac:dyDescent="0.3">
      <c r="A97" s="15" t="s">
        <v>224</v>
      </c>
      <c r="B97" s="16">
        <v>45526</v>
      </c>
      <c r="C97" s="8" t="s">
        <v>102</v>
      </c>
      <c r="D97" s="8" t="s">
        <v>103</v>
      </c>
      <c r="E97" s="8" t="s">
        <v>44</v>
      </c>
      <c r="F97" s="8" t="s">
        <v>45</v>
      </c>
      <c r="G97" s="8" t="s">
        <v>46</v>
      </c>
      <c r="H97" s="17">
        <v>5</v>
      </c>
      <c r="I97" s="17">
        <v>149.99</v>
      </c>
      <c r="J97" s="8" t="s">
        <v>26</v>
      </c>
      <c r="K97" s="8" t="s">
        <v>21</v>
      </c>
      <c r="L97" s="8" t="s">
        <v>22</v>
      </c>
      <c r="M97" s="16">
        <v>45310</v>
      </c>
      <c r="N97" s="18">
        <v>749.95</v>
      </c>
      <c r="V97" s="27">
        <f t="shared" si="3"/>
        <v>35</v>
      </c>
      <c r="AB97" s="27" t="str">
        <f t="shared" si="4"/>
        <v>CP</v>
      </c>
    </row>
    <row r="98" spans="1:28" ht="18" customHeight="1" x14ac:dyDescent="0.3">
      <c r="A98" s="15" t="s">
        <v>225</v>
      </c>
      <c r="B98" s="16">
        <v>45528</v>
      </c>
      <c r="C98" s="8" t="s">
        <v>226</v>
      </c>
      <c r="D98" s="8" t="s">
        <v>227</v>
      </c>
      <c r="E98" s="8" t="s">
        <v>114</v>
      </c>
      <c r="F98" s="8" t="s">
        <v>115</v>
      </c>
      <c r="G98" s="8" t="s">
        <v>33</v>
      </c>
      <c r="H98" s="17">
        <v>3</v>
      </c>
      <c r="I98" s="17">
        <v>79.989999999999995</v>
      </c>
      <c r="J98" s="8" t="s">
        <v>20</v>
      </c>
      <c r="K98" s="8" t="s">
        <v>21</v>
      </c>
      <c r="L98" s="8" t="s">
        <v>27</v>
      </c>
      <c r="M98" s="16">
        <v>44779</v>
      </c>
      <c r="N98" s="18">
        <v>239.97</v>
      </c>
      <c r="V98" s="27">
        <f t="shared" si="3"/>
        <v>14</v>
      </c>
      <c r="AB98" s="27" t="str">
        <f t="shared" si="4"/>
        <v>LR</v>
      </c>
    </row>
    <row r="99" spans="1:28" ht="18" customHeight="1" x14ac:dyDescent="0.3">
      <c r="A99" s="15" t="s">
        <v>228</v>
      </c>
      <c r="B99" s="16">
        <v>45528</v>
      </c>
      <c r="C99" s="8" t="s">
        <v>144</v>
      </c>
      <c r="D99" s="8" t="s">
        <v>145</v>
      </c>
      <c r="E99" s="8" t="s">
        <v>17</v>
      </c>
      <c r="F99" s="8" t="s">
        <v>18</v>
      </c>
      <c r="G99" s="8" t="s">
        <v>19</v>
      </c>
      <c r="H99" s="17">
        <v>2</v>
      </c>
      <c r="I99" s="17">
        <v>249.99</v>
      </c>
      <c r="J99" s="8" t="s">
        <v>20</v>
      </c>
      <c r="K99" s="8" t="s">
        <v>35</v>
      </c>
      <c r="L99" s="8" t="s">
        <v>36</v>
      </c>
      <c r="M99" s="16">
        <v>44572</v>
      </c>
      <c r="N99" s="18">
        <v>499.98</v>
      </c>
      <c r="V99" s="27">
        <f t="shared" si="3"/>
        <v>26</v>
      </c>
      <c r="AB99" s="27" t="str">
        <f t="shared" si="4"/>
        <v>HM</v>
      </c>
    </row>
    <row r="100" spans="1:28" ht="18" customHeight="1" x14ac:dyDescent="0.3">
      <c r="A100" s="15" t="s">
        <v>229</v>
      </c>
      <c r="B100" s="16">
        <v>45532</v>
      </c>
      <c r="C100" s="8" t="s">
        <v>196</v>
      </c>
      <c r="D100" s="8" t="s">
        <v>197</v>
      </c>
      <c r="E100" s="8" t="s">
        <v>80</v>
      </c>
      <c r="F100" s="8" t="s">
        <v>81</v>
      </c>
      <c r="G100" s="8" t="s">
        <v>19</v>
      </c>
      <c r="H100" s="17">
        <v>1</v>
      </c>
      <c r="I100" s="17">
        <v>699.99</v>
      </c>
      <c r="J100" s="8" t="s">
        <v>20</v>
      </c>
      <c r="K100" s="8" t="s">
        <v>21</v>
      </c>
      <c r="L100" s="8" t="s">
        <v>27</v>
      </c>
      <c r="M100" s="16">
        <v>44497</v>
      </c>
      <c r="N100" s="18">
        <v>699.99</v>
      </c>
      <c r="V100" s="27">
        <f t="shared" si="3"/>
        <v>30</v>
      </c>
      <c r="AB100" s="27" t="str">
        <f t="shared" si="4"/>
        <v>GM</v>
      </c>
    </row>
    <row r="101" spans="1:28" ht="18" customHeight="1" x14ac:dyDescent="0.3">
      <c r="A101" s="15" t="s">
        <v>230</v>
      </c>
      <c r="B101" s="16">
        <v>45532</v>
      </c>
      <c r="C101" s="8" t="s">
        <v>231</v>
      </c>
      <c r="D101" s="8" t="s">
        <v>232</v>
      </c>
      <c r="E101" s="8" t="s">
        <v>52</v>
      </c>
      <c r="F101" s="8" t="s">
        <v>53</v>
      </c>
      <c r="G101" s="8" t="s">
        <v>19</v>
      </c>
      <c r="H101" s="17">
        <v>3</v>
      </c>
      <c r="I101" s="17">
        <v>149.99</v>
      </c>
      <c r="J101" s="8" t="s">
        <v>20</v>
      </c>
      <c r="K101" s="8" t="s">
        <v>50</v>
      </c>
      <c r="L101" s="8" t="s">
        <v>27</v>
      </c>
      <c r="M101" s="16">
        <v>45212</v>
      </c>
      <c r="N101" s="18">
        <v>449.97</v>
      </c>
      <c r="V101" s="27">
        <f t="shared" si="3"/>
        <v>16</v>
      </c>
      <c r="AB101" s="27" t="str">
        <f t="shared" si="4"/>
        <v>CE</v>
      </c>
    </row>
    <row r="102" spans="1:28" ht="18" customHeight="1" x14ac:dyDescent="0.3">
      <c r="A102" s="15" t="s">
        <v>233</v>
      </c>
      <c r="B102" s="16">
        <v>45534</v>
      </c>
      <c r="C102" s="8" t="s">
        <v>234</v>
      </c>
      <c r="D102" s="8" t="s">
        <v>235</v>
      </c>
      <c r="E102" s="8" t="s">
        <v>80</v>
      </c>
      <c r="F102" s="8" t="s">
        <v>81</v>
      </c>
      <c r="G102" s="8" t="s">
        <v>19</v>
      </c>
      <c r="H102" s="17">
        <v>2</v>
      </c>
      <c r="I102" s="17">
        <v>699.99</v>
      </c>
      <c r="J102" s="8" t="s">
        <v>26</v>
      </c>
      <c r="K102" s="8" t="s">
        <v>40</v>
      </c>
      <c r="L102" s="8" t="s">
        <v>27</v>
      </c>
      <c r="M102" s="16">
        <v>44421</v>
      </c>
      <c r="N102" s="18">
        <v>1399.98</v>
      </c>
      <c r="V102" s="27">
        <f t="shared" si="3"/>
        <v>30</v>
      </c>
      <c r="AB102" s="27" t="str">
        <f t="shared" si="4"/>
        <v>SP</v>
      </c>
    </row>
    <row r="103" spans="1:28" ht="18" customHeight="1" x14ac:dyDescent="0.3">
      <c r="A103" s="15" t="s">
        <v>236</v>
      </c>
      <c r="B103" s="16">
        <v>45537</v>
      </c>
      <c r="C103" s="8" t="s">
        <v>231</v>
      </c>
      <c r="D103" s="8" t="s">
        <v>232</v>
      </c>
      <c r="E103" s="8" t="s">
        <v>17</v>
      </c>
      <c r="F103" s="8" t="s">
        <v>18</v>
      </c>
      <c r="G103" s="8" t="s">
        <v>19</v>
      </c>
      <c r="H103" s="17">
        <v>1</v>
      </c>
      <c r="I103" s="17">
        <v>249.99</v>
      </c>
      <c r="J103" s="8" t="s">
        <v>26</v>
      </c>
      <c r="K103" s="8" t="s">
        <v>50</v>
      </c>
      <c r="L103" s="8" t="s">
        <v>27</v>
      </c>
      <c r="M103" s="16">
        <v>44685</v>
      </c>
      <c r="N103" s="18">
        <v>249.99</v>
      </c>
      <c r="V103" s="27">
        <f t="shared" si="3"/>
        <v>26</v>
      </c>
      <c r="AB103" s="27" t="str">
        <f t="shared" si="4"/>
        <v>CE</v>
      </c>
    </row>
    <row r="104" spans="1:28" ht="18" customHeight="1" x14ac:dyDescent="0.3">
      <c r="A104" s="15" t="s">
        <v>237</v>
      </c>
      <c r="B104" s="16">
        <v>45537</v>
      </c>
      <c r="C104" s="8" t="s">
        <v>15</v>
      </c>
      <c r="D104" s="8" t="s">
        <v>16</v>
      </c>
      <c r="E104" s="8" t="s">
        <v>17</v>
      </c>
      <c r="F104" s="8" t="s">
        <v>18</v>
      </c>
      <c r="G104" s="8" t="s">
        <v>19</v>
      </c>
      <c r="H104" s="17">
        <v>1</v>
      </c>
      <c r="I104" s="17">
        <v>249.99</v>
      </c>
      <c r="J104" s="8" t="s">
        <v>57</v>
      </c>
      <c r="K104" s="8" t="s">
        <v>40</v>
      </c>
      <c r="L104" s="8" t="s">
        <v>27</v>
      </c>
      <c r="M104" s="16">
        <v>45332</v>
      </c>
      <c r="N104" s="18">
        <v>249.99</v>
      </c>
      <c r="V104" s="27">
        <f t="shared" si="3"/>
        <v>26</v>
      </c>
      <c r="AB104" s="27" t="str">
        <f t="shared" si="4"/>
        <v>PB</v>
      </c>
    </row>
    <row r="105" spans="1:28" ht="18" customHeight="1" x14ac:dyDescent="0.3">
      <c r="A105" s="15" t="s">
        <v>238</v>
      </c>
      <c r="B105" s="16">
        <v>45538</v>
      </c>
      <c r="C105" s="8" t="s">
        <v>226</v>
      </c>
      <c r="D105" s="8" t="s">
        <v>227</v>
      </c>
      <c r="E105" s="8" t="s">
        <v>80</v>
      </c>
      <c r="F105" s="8" t="s">
        <v>81</v>
      </c>
      <c r="G105" s="8" t="s">
        <v>19</v>
      </c>
      <c r="H105" s="17">
        <v>2</v>
      </c>
      <c r="I105" s="17">
        <v>699.99</v>
      </c>
      <c r="J105" s="8" t="s">
        <v>57</v>
      </c>
      <c r="K105" s="8" t="s">
        <v>21</v>
      </c>
      <c r="L105" s="8" t="s">
        <v>27</v>
      </c>
      <c r="M105" s="16">
        <v>44870</v>
      </c>
      <c r="N105" s="18">
        <v>1399.98</v>
      </c>
      <c r="V105" s="27">
        <f t="shared" si="3"/>
        <v>30</v>
      </c>
      <c r="AB105" s="27" t="str">
        <f t="shared" si="4"/>
        <v>LR</v>
      </c>
    </row>
    <row r="106" spans="1:28" ht="18" customHeight="1" x14ac:dyDescent="0.3">
      <c r="A106" s="15" t="s">
        <v>239</v>
      </c>
      <c r="B106" s="16">
        <v>45541</v>
      </c>
      <c r="C106" s="8" t="s">
        <v>138</v>
      </c>
      <c r="D106" s="8" t="s">
        <v>139</v>
      </c>
      <c r="E106" s="8" t="s">
        <v>31</v>
      </c>
      <c r="F106" s="8" t="s">
        <v>32</v>
      </c>
      <c r="G106" s="8" t="s">
        <v>33</v>
      </c>
      <c r="H106" s="17">
        <v>3</v>
      </c>
      <c r="I106" s="17">
        <v>59.99</v>
      </c>
      <c r="J106" s="8" t="s">
        <v>26</v>
      </c>
      <c r="K106" s="8" t="s">
        <v>21</v>
      </c>
      <c r="L106" s="8" t="s">
        <v>27</v>
      </c>
      <c r="M106" s="16">
        <v>44717</v>
      </c>
      <c r="N106" s="18">
        <v>179.97</v>
      </c>
      <c r="V106" s="27">
        <f t="shared" si="3"/>
        <v>29</v>
      </c>
      <c r="AB106" s="27" t="str">
        <f t="shared" si="4"/>
        <v>ST</v>
      </c>
    </row>
    <row r="107" spans="1:28" ht="18" customHeight="1" x14ac:dyDescent="0.3">
      <c r="A107" s="15" t="s">
        <v>240</v>
      </c>
      <c r="B107" s="16">
        <v>45544</v>
      </c>
      <c r="C107" s="8" t="s">
        <v>132</v>
      </c>
      <c r="D107" s="8" t="s">
        <v>133</v>
      </c>
      <c r="E107" s="8" t="s">
        <v>31</v>
      </c>
      <c r="F107" s="8" t="s">
        <v>32</v>
      </c>
      <c r="G107" s="8" t="s">
        <v>33</v>
      </c>
      <c r="H107" s="17">
        <v>3</v>
      </c>
      <c r="I107" s="17">
        <v>59.99</v>
      </c>
      <c r="J107" s="8" t="s">
        <v>34</v>
      </c>
      <c r="K107" s="8" t="s">
        <v>63</v>
      </c>
      <c r="L107" s="8" t="s">
        <v>36</v>
      </c>
      <c r="M107" s="16">
        <v>44748</v>
      </c>
      <c r="N107" s="18">
        <v>179.97</v>
      </c>
      <c r="V107" s="27">
        <f t="shared" si="3"/>
        <v>29</v>
      </c>
      <c r="AB107" s="27" t="str">
        <f t="shared" si="4"/>
        <v>EW</v>
      </c>
    </row>
    <row r="108" spans="1:28" ht="18" customHeight="1" x14ac:dyDescent="0.3">
      <c r="A108" s="15" t="s">
        <v>241</v>
      </c>
      <c r="B108" s="16">
        <v>45544</v>
      </c>
      <c r="C108" s="8" t="s">
        <v>141</v>
      </c>
      <c r="D108" s="8" t="s">
        <v>142</v>
      </c>
      <c r="E108" s="8" t="s">
        <v>114</v>
      </c>
      <c r="F108" s="8" t="s">
        <v>115</v>
      </c>
      <c r="G108" s="8" t="s">
        <v>33</v>
      </c>
      <c r="H108" s="17">
        <v>4</v>
      </c>
      <c r="I108" s="17">
        <v>79.989999999999995</v>
      </c>
      <c r="J108" s="8" t="s">
        <v>20</v>
      </c>
      <c r="K108" s="8" t="s">
        <v>40</v>
      </c>
      <c r="L108" s="8" t="s">
        <v>22</v>
      </c>
      <c r="M108" s="16">
        <v>44530</v>
      </c>
      <c r="N108" s="18">
        <v>319.95999999999998</v>
      </c>
      <c r="V108" s="27">
        <f t="shared" si="3"/>
        <v>14</v>
      </c>
      <c r="AB108" s="27" t="str">
        <f t="shared" si="4"/>
        <v>JT</v>
      </c>
    </row>
    <row r="109" spans="1:28" ht="18" customHeight="1" x14ac:dyDescent="0.3">
      <c r="A109" s="15" t="s">
        <v>242</v>
      </c>
      <c r="B109" s="16">
        <v>45545</v>
      </c>
      <c r="C109" s="8" t="s">
        <v>55</v>
      </c>
      <c r="D109" s="8" t="s">
        <v>56</v>
      </c>
      <c r="E109" s="8" t="s">
        <v>114</v>
      </c>
      <c r="F109" s="8" t="s">
        <v>115</v>
      </c>
      <c r="G109" s="8" t="s">
        <v>33</v>
      </c>
      <c r="H109" s="17">
        <v>1</v>
      </c>
      <c r="I109" s="17">
        <v>79.989999999999995</v>
      </c>
      <c r="J109" s="8" t="s">
        <v>20</v>
      </c>
      <c r="K109" s="8" t="s">
        <v>50</v>
      </c>
      <c r="L109" s="8" t="s">
        <v>22</v>
      </c>
      <c r="M109" s="16">
        <v>44693</v>
      </c>
      <c r="N109" s="18">
        <v>79.989999999999995</v>
      </c>
      <c r="V109" s="27">
        <f t="shared" si="3"/>
        <v>14</v>
      </c>
      <c r="AB109" s="27" t="str">
        <f t="shared" si="4"/>
        <v>CA</v>
      </c>
    </row>
    <row r="110" spans="1:28" ht="18" customHeight="1" x14ac:dyDescent="0.3">
      <c r="A110" s="15" t="s">
        <v>243</v>
      </c>
      <c r="B110" s="16">
        <v>45547</v>
      </c>
      <c r="C110" s="8" t="s">
        <v>48</v>
      </c>
      <c r="D110" s="8" t="s">
        <v>49</v>
      </c>
      <c r="E110" s="8" t="s">
        <v>105</v>
      </c>
      <c r="F110" s="8" t="s">
        <v>106</v>
      </c>
      <c r="G110" s="8" t="s">
        <v>46</v>
      </c>
      <c r="H110" s="17">
        <v>3</v>
      </c>
      <c r="I110" s="17">
        <v>299.99</v>
      </c>
      <c r="J110" s="8" t="s">
        <v>26</v>
      </c>
      <c r="K110" s="8" t="s">
        <v>21</v>
      </c>
      <c r="L110" s="8" t="s">
        <v>27</v>
      </c>
      <c r="M110" s="16">
        <v>44494</v>
      </c>
      <c r="N110" s="18">
        <v>899.97</v>
      </c>
      <c r="V110" s="27">
        <f t="shared" si="3"/>
        <v>26</v>
      </c>
      <c r="AB110" s="27" t="str">
        <f t="shared" si="4"/>
        <v>DN</v>
      </c>
    </row>
    <row r="111" spans="1:28" ht="18" customHeight="1" x14ac:dyDescent="0.3">
      <c r="A111" s="15" t="s">
        <v>244</v>
      </c>
      <c r="B111" s="16">
        <v>45548</v>
      </c>
      <c r="C111" s="8" t="s">
        <v>38</v>
      </c>
      <c r="D111" s="8" t="s">
        <v>39</v>
      </c>
      <c r="E111" s="8" t="s">
        <v>117</v>
      </c>
      <c r="F111" s="8" t="s">
        <v>118</v>
      </c>
      <c r="G111" s="8" t="s">
        <v>19</v>
      </c>
      <c r="H111" s="17">
        <v>2</v>
      </c>
      <c r="I111" s="17">
        <v>89.99</v>
      </c>
      <c r="J111" s="8" t="s">
        <v>26</v>
      </c>
      <c r="K111" s="8" t="s">
        <v>35</v>
      </c>
      <c r="L111" s="8" t="s">
        <v>27</v>
      </c>
      <c r="M111" s="16">
        <v>44641</v>
      </c>
      <c r="N111" s="18">
        <v>179.98</v>
      </c>
      <c r="V111" s="27">
        <f t="shared" si="3"/>
        <v>34</v>
      </c>
      <c r="AB111" s="27" t="str">
        <f t="shared" si="4"/>
        <v>KB</v>
      </c>
    </row>
    <row r="112" spans="1:28" ht="18" customHeight="1" x14ac:dyDescent="0.3">
      <c r="A112" s="15" t="s">
        <v>245</v>
      </c>
      <c r="B112" s="16">
        <v>45550</v>
      </c>
      <c r="C112" s="8" t="s">
        <v>246</v>
      </c>
      <c r="D112" s="8" t="s">
        <v>247</v>
      </c>
      <c r="E112" s="8" t="s">
        <v>52</v>
      </c>
      <c r="F112" s="8" t="s">
        <v>53</v>
      </c>
      <c r="G112" s="8" t="s">
        <v>19</v>
      </c>
      <c r="H112" s="17">
        <v>4</v>
      </c>
      <c r="I112" s="17">
        <v>149.99</v>
      </c>
      <c r="J112" s="8" t="s">
        <v>20</v>
      </c>
      <c r="K112" s="8" t="s">
        <v>40</v>
      </c>
      <c r="L112" s="8" t="s">
        <v>22</v>
      </c>
      <c r="M112" s="16">
        <v>44909</v>
      </c>
      <c r="N112" s="18">
        <v>599.96</v>
      </c>
      <c r="V112" s="27">
        <f t="shared" si="3"/>
        <v>16</v>
      </c>
      <c r="AB112" s="27" t="str">
        <f t="shared" si="4"/>
        <v>RB</v>
      </c>
    </row>
    <row r="113" spans="1:28" ht="18" customHeight="1" x14ac:dyDescent="0.3">
      <c r="A113" s="15" t="s">
        <v>248</v>
      </c>
      <c r="B113" s="16">
        <v>45551</v>
      </c>
      <c r="C113" s="8" t="s">
        <v>65</v>
      </c>
      <c r="D113" s="8" t="s">
        <v>66</v>
      </c>
      <c r="E113" s="8" t="s">
        <v>17</v>
      </c>
      <c r="F113" s="8" t="s">
        <v>18</v>
      </c>
      <c r="G113" s="8" t="s">
        <v>19</v>
      </c>
      <c r="H113" s="17">
        <v>2</v>
      </c>
      <c r="I113" s="17">
        <v>249.99</v>
      </c>
      <c r="J113" s="8" t="s">
        <v>34</v>
      </c>
      <c r="K113" s="8" t="s">
        <v>35</v>
      </c>
      <c r="L113" s="8" t="s">
        <v>22</v>
      </c>
      <c r="M113" s="16">
        <v>44993</v>
      </c>
      <c r="N113" s="18">
        <v>499.98</v>
      </c>
      <c r="V113" s="27">
        <f t="shared" si="3"/>
        <v>26</v>
      </c>
      <c r="AB113" s="27" t="str">
        <f t="shared" si="4"/>
        <v>KH</v>
      </c>
    </row>
    <row r="114" spans="1:28" ht="18" customHeight="1" x14ac:dyDescent="0.3">
      <c r="A114" s="15" t="s">
        <v>249</v>
      </c>
      <c r="B114" s="16">
        <v>45551</v>
      </c>
      <c r="C114" s="8" t="s">
        <v>154</v>
      </c>
      <c r="D114" s="8" t="s">
        <v>155</v>
      </c>
      <c r="E114" s="8" t="s">
        <v>126</v>
      </c>
      <c r="F114" s="8" t="s">
        <v>127</v>
      </c>
      <c r="G114" s="8" t="s">
        <v>46</v>
      </c>
      <c r="H114" s="17">
        <v>4</v>
      </c>
      <c r="I114" s="17">
        <v>199.99</v>
      </c>
      <c r="J114" s="8" t="s">
        <v>57</v>
      </c>
      <c r="K114" s="8" t="s">
        <v>63</v>
      </c>
      <c r="L114" s="8" t="s">
        <v>22</v>
      </c>
      <c r="M114" s="16">
        <v>44458</v>
      </c>
      <c r="N114" s="18">
        <v>799.96</v>
      </c>
      <c r="V114" s="27">
        <f t="shared" si="3"/>
        <v>15</v>
      </c>
      <c r="AB114" s="27" t="str">
        <f t="shared" si="4"/>
        <v>SD</v>
      </c>
    </row>
    <row r="115" spans="1:28" ht="18" customHeight="1" x14ac:dyDescent="0.3">
      <c r="A115" s="15" t="s">
        <v>250</v>
      </c>
      <c r="B115" s="16">
        <v>45554</v>
      </c>
      <c r="C115" s="8" t="s">
        <v>147</v>
      </c>
      <c r="D115" s="8" t="s">
        <v>148</v>
      </c>
      <c r="E115" s="8" t="s">
        <v>117</v>
      </c>
      <c r="F115" s="8" t="s">
        <v>118</v>
      </c>
      <c r="G115" s="8" t="s">
        <v>19</v>
      </c>
      <c r="H115" s="17">
        <v>5</v>
      </c>
      <c r="I115" s="17">
        <v>89.99</v>
      </c>
      <c r="J115" s="8" t="s">
        <v>26</v>
      </c>
      <c r="K115" s="8" t="s">
        <v>63</v>
      </c>
      <c r="L115" s="8" t="s">
        <v>27</v>
      </c>
      <c r="M115" s="16">
        <v>44446</v>
      </c>
      <c r="N115" s="18">
        <v>449.95</v>
      </c>
      <c r="V115" s="27">
        <f t="shared" si="3"/>
        <v>34</v>
      </c>
      <c r="AB115" s="27" t="str">
        <f t="shared" si="4"/>
        <v>DK</v>
      </c>
    </row>
    <row r="116" spans="1:28" ht="18" customHeight="1" x14ac:dyDescent="0.3">
      <c r="A116" s="15" t="s">
        <v>251</v>
      </c>
      <c r="B116" s="16">
        <v>45554</v>
      </c>
      <c r="C116" s="8" t="s">
        <v>252</v>
      </c>
      <c r="D116" s="8" t="s">
        <v>253</v>
      </c>
      <c r="E116" s="8" t="s">
        <v>52</v>
      </c>
      <c r="F116" s="8" t="s">
        <v>53</v>
      </c>
      <c r="G116" s="8" t="s">
        <v>19</v>
      </c>
      <c r="H116" s="17">
        <v>1</v>
      </c>
      <c r="I116" s="17">
        <v>149.99</v>
      </c>
      <c r="J116" s="8" t="s">
        <v>34</v>
      </c>
      <c r="K116" s="8" t="s">
        <v>63</v>
      </c>
      <c r="L116" s="8" t="s">
        <v>36</v>
      </c>
      <c r="M116" s="16">
        <v>44482</v>
      </c>
      <c r="N116" s="18">
        <v>149.99</v>
      </c>
      <c r="V116" s="27">
        <f t="shared" si="3"/>
        <v>16</v>
      </c>
      <c r="AB116" s="27" t="str">
        <f t="shared" si="4"/>
        <v>WW</v>
      </c>
    </row>
    <row r="117" spans="1:28" ht="18" customHeight="1" x14ac:dyDescent="0.3">
      <c r="A117" s="15" t="s">
        <v>254</v>
      </c>
      <c r="B117" s="16">
        <v>45554</v>
      </c>
      <c r="C117" s="8" t="s">
        <v>72</v>
      </c>
      <c r="D117" s="8" t="s">
        <v>73</v>
      </c>
      <c r="E117" s="8" t="s">
        <v>80</v>
      </c>
      <c r="F117" s="8" t="s">
        <v>81</v>
      </c>
      <c r="G117" s="8" t="s">
        <v>19</v>
      </c>
      <c r="H117" s="17">
        <v>4</v>
      </c>
      <c r="I117" s="17">
        <v>699.99</v>
      </c>
      <c r="J117" s="8" t="s">
        <v>34</v>
      </c>
      <c r="K117" s="8" t="s">
        <v>35</v>
      </c>
      <c r="L117" s="8" t="s">
        <v>22</v>
      </c>
      <c r="M117" s="16">
        <v>44618</v>
      </c>
      <c r="N117" s="18">
        <v>2799.96</v>
      </c>
      <c r="V117" s="27">
        <f t="shared" si="3"/>
        <v>30</v>
      </c>
      <c r="AB117" s="27" t="str">
        <f t="shared" si="4"/>
        <v>PR</v>
      </c>
    </row>
    <row r="118" spans="1:28" ht="18" customHeight="1" x14ac:dyDescent="0.3">
      <c r="A118" s="15" t="s">
        <v>255</v>
      </c>
      <c r="B118" s="16">
        <v>45559</v>
      </c>
      <c r="C118" s="8" t="s">
        <v>234</v>
      </c>
      <c r="D118" s="8" t="s">
        <v>235</v>
      </c>
      <c r="E118" s="8" t="s">
        <v>61</v>
      </c>
      <c r="F118" s="8" t="s">
        <v>62</v>
      </c>
      <c r="G118" s="8" t="s">
        <v>19</v>
      </c>
      <c r="H118" s="17">
        <v>3</v>
      </c>
      <c r="I118" s="17">
        <v>899.99</v>
      </c>
      <c r="J118" s="8" t="s">
        <v>26</v>
      </c>
      <c r="K118" s="8" t="s">
        <v>40</v>
      </c>
      <c r="L118" s="8" t="s">
        <v>36</v>
      </c>
      <c r="M118" s="16">
        <v>45157</v>
      </c>
      <c r="N118" s="18">
        <v>2699.97</v>
      </c>
      <c r="V118" s="27">
        <f t="shared" si="3"/>
        <v>24</v>
      </c>
      <c r="AB118" s="27" t="str">
        <f t="shared" si="4"/>
        <v>SP</v>
      </c>
    </row>
    <row r="119" spans="1:28" ht="18" customHeight="1" x14ac:dyDescent="0.3">
      <c r="A119" s="15" t="s">
        <v>256</v>
      </c>
      <c r="B119" s="16">
        <v>45560</v>
      </c>
      <c r="C119" s="8" t="s">
        <v>112</v>
      </c>
      <c r="D119" s="8" t="s">
        <v>113</v>
      </c>
      <c r="E119" s="8" t="s">
        <v>44</v>
      </c>
      <c r="F119" s="8" t="s">
        <v>45</v>
      </c>
      <c r="G119" s="8" t="s">
        <v>46</v>
      </c>
      <c r="H119" s="17">
        <v>3</v>
      </c>
      <c r="I119" s="17">
        <v>149.99</v>
      </c>
      <c r="J119" s="8" t="s">
        <v>34</v>
      </c>
      <c r="K119" s="8" t="s">
        <v>63</v>
      </c>
      <c r="L119" s="8" t="s">
        <v>22</v>
      </c>
      <c r="M119" s="16">
        <v>44886</v>
      </c>
      <c r="N119" s="18">
        <v>449.97</v>
      </c>
      <c r="V119" s="27">
        <f t="shared" si="3"/>
        <v>35</v>
      </c>
      <c r="AB119" s="27" t="str">
        <f t="shared" si="4"/>
        <v>LM</v>
      </c>
    </row>
    <row r="120" spans="1:28" ht="18" customHeight="1" x14ac:dyDescent="0.3">
      <c r="A120" s="15" t="s">
        <v>257</v>
      </c>
      <c r="B120" s="16">
        <v>45563</v>
      </c>
      <c r="C120" s="8" t="s">
        <v>99</v>
      </c>
      <c r="D120" s="8" t="s">
        <v>100</v>
      </c>
      <c r="E120" s="8" t="s">
        <v>105</v>
      </c>
      <c r="F120" s="8" t="s">
        <v>106</v>
      </c>
      <c r="G120" s="8" t="s">
        <v>46</v>
      </c>
      <c r="H120" s="17">
        <v>2</v>
      </c>
      <c r="I120" s="17">
        <v>299.99</v>
      </c>
      <c r="J120" s="8" t="s">
        <v>57</v>
      </c>
      <c r="K120" s="8" t="s">
        <v>21</v>
      </c>
      <c r="L120" s="8" t="s">
        <v>22</v>
      </c>
      <c r="M120" s="16">
        <v>44569</v>
      </c>
      <c r="N120" s="18">
        <v>599.98</v>
      </c>
      <c r="V120" s="27">
        <f t="shared" si="3"/>
        <v>26</v>
      </c>
      <c r="AB120" s="27" t="str">
        <f t="shared" si="4"/>
        <v>PM</v>
      </c>
    </row>
    <row r="121" spans="1:28" ht="18" customHeight="1" x14ac:dyDescent="0.3">
      <c r="A121" s="15" t="s">
        <v>258</v>
      </c>
      <c r="B121" s="16">
        <v>45564</v>
      </c>
      <c r="C121" s="8" t="s">
        <v>259</v>
      </c>
      <c r="D121" s="8" t="s">
        <v>260</v>
      </c>
      <c r="E121" s="8" t="s">
        <v>126</v>
      </c>
      <c r="F121" s="8" t="s">
        <v>127</v>
      </c>
      <c r="G121" s="8" t="s">
        <v>46</v>
      </c>
      <c r="H121" s="17">
        <v>1</v>
      </c>
      <c r="I121" s="17">
        <v>199.99</v>
      </c>
      <c r="J121" s="8" t="s">
        <v>57</v>
      </c>
      <c r="K121" s="8" t="s">
        <v>63</v>
      </c>
      <c r="L121" s="8" t="s">
        <v>36</v>
      </c>
      <c r="M121" s="16">
        <v>44953</v>
      </c>
      <c r="N121" s="18">
        <v>199.99</v>
      </c>
      <c r="V121" s="27">
        <f t="shared" si="3"/>
        <v>15</v>
      </c>
      <c r="AB121" s="27" t="str">
        <f t="shared" si="4"/>
        <v>RL</v>
      </c>
    </row>
    <row r="122" spans="1:28" ht="18" customHeight="1" x14ac:dyDescent="0.3">
      <c r="A122" s="15" t="s">
        <v>261</v>
      </c>
      <c r="B122" s="16">
        <v>45566</v>
      </c>
      <c r="C122" s="8" t="s">
        <v>42</v>
      </c>
      <c r="D122" s="8" t="s">
        <v>43</v>
      </c>
      <c r="E122" s="8" t="s">
        <v>105</v>
      </c>
      <c r="F122" s="8" t="s">
        <v>106</v>
      </c>
      <c r="G122" s="8" t="s">
        <v>46</v>
      </c>
      <c r="H122" s="17">
        <v>4</v>
      </c>
      <c r="I122" s="17">
        <v>299.99</v>
      </c>
      <c r="J122" s="8" t="s">
        <v>20</v>
      </c>
      <c r="K122" s="8" t="s">
        <v>21</v>
      </c>
      <c r="L122" s="8" t="s">
        <v>27</v>
      </c>
      <c r="M122" s="16">
        <v>44460</v>
      </c>
      <c r="N122" s="18">
        <v>1199.96</v>
      </c>
      <c r="V122" s="27">
        <f t="shared" si="3"/>
        <v>26</v>
      </c>
      <c r="AB122" s="27" t="str">
        <f t="shared" si="4"/>
        <v>MB</v>
      </c>
    </row>
    <row r="123" spans="1:28" ht="18" customHeight="1" x14ac:dyDescent="0.3">
      <c r="A123" s="15" t="s">
        <v>262</v>
      </c>
      <c r="B123" s="16">
        <v>45572</v>
      </c>
      <c r="C123" s="8" t="s">
        <v>89</v>
      </c>
      <c r="D123" s="8" t="s">
        <v>90</v>
      </c>
      <c r="E123" s="8" t="s">
        <v>31</v>
      </c>
      <c r="F123" s="8" t="s">
        <v>32</v>
      </c>
      <c r="G123" s="8" t="s">
        <v>33</v>
      </c>
      <c r="H123" s="17">
        <v>2</v>
      </c>
      <c r="I123" s="17">
        <v>59.99</v>
      </c>
      <c r="J123" s="8" t="s">
        <v>26</v>
      </c>
      <c r="K123" s="8" t="s">
        <v>21</v>
      </c>
      <c r="L123" s="8" t="s">
        <v>22</v>
      </c>
      <c r="M123" s="16">
        <v>44579</v>
      </c>
      <c r="N123" s="18">
        <v>119.98</v>
      </c>
      <c r="V123" s="27">
        <f t="shared" si="3"/>
        <v>29</v>
      </c>
      <c r="AB123" s="27" t="str">
        <f t="shared" si="4"/>
        <v>MG</v>
      </c>
    </row>
    <row r="124" spans="1:28" ht="18" customHeight="1" x14ac:dyDescent="0.3">
      <c r="A124" s="15" t="s">
        <v>263</v>
      </c>
      <c r="B124" s="16">
        <v>45572</v>
      </c>
      <c r="C124" s="8" t="s">
        <v>234</v>
      </c>
      <c r="D124" s="8" t="s">
        <v>235</v>
      </c>
      <c r="E124" s="8" t="s">
        <v>52</v>
      </c>
      <c r="F124" s="8" t="s">
        <v>53</v>
      </c>
      <c r="G124" s="8" t="s">
        <v>19</v>
      </c>
      <c r="H124" s="17">
        <v>4</v>
      </c>
      <c r="I124" s="17">
        <v>149.99</v>
      </c>
      <c r="J124" s="8" t="s">
        <v>26</v>
      </c>
      <c r="K124" s="8" t="s">
        <v>40</v>
      </c>
      <c r="L124" s="8" t="s">
        <v>27</v>
      </c>
      <c r="M124" s="16">
        <v>45076</v>
      </c>
      <c r="N124" s="18">
        <v>599.96</v>
      </c>
      <c r="V124" s="27">
        <f t="shared" si="3"/>
        <v>16</v>
      </c>
      <c r="AB124" s="27" t="str">
        <f t="shared" si="4"/>
        <v>SP</v>
      </c>
    </row>
    <row r="125" spans="1:28" ht="18" customHeight="1" x14ac:dyDescent="0.3">
      <c r="A125" s="15" t="s">
        <v>264</v>
      </c>
      <c r="B125" s="16">
        <v>45573</v>
      </c>
      <c r="C125" s="8" t="s">
        <v>211</v>
      </c>
      <c r="D125" s="8" t="s">
        <v>212</v>
      </c>
      <c r="E125" s="8" t="s">
        <v>80</v>
      </c>
      <c r="F125" s="8" t="s">
        <v>81</v>
      </c>
      <c r="G125" s="8" t="s">
        <v>19</v>
      </c>
      <c r="H125" s="17">
        <v>2</v>
      </c>
      <c r="I125" s="17">
        <v>699.99</v>
      </c>
      <c r="J125" s="8" t="s">
        <v>57</v>
      </c>
      <c r="K125" s="8" t="s">
        <v>63</v>
      </c>
      <c r="L125" s="8" t="s">
        <v>27</v>
      </c>
      <c r="M125" s="16">
        <v>45274</v>
      </c>
      <c r="N125" s="18">
        <v>1399.98</v>
      </c>
      <c r="V125" s="27">
        <f t="shared" si="3"/>
        <v>30</v>
      </c>
      <c r="AB125" s="27" t="str">
        <f t="shared" si="4"/>
        <v>EH</v>
      </c>
    </row>
    <row r="126" spans="1:28" ht="18" customHeight="1" x14ac:dyDescent="0.3">
      <c r="A126" s="15" t="s">
        <v>265</v>
      </c>
      <c r="B126" s="16">
        <v>45573</v>
      </c>
      <c r="C126" s="8" t="s">
        <v>231</v>
      </c>
      <c r="D126" s="8" t="s">
        <v>232</v>
      </c>
      <c r="E126" s="8" t="s">
        <v>44</v>
      </c>
      <c r="F126" s="8" t="s">
        <v>45</v>
      </c>
      <c r="G126" s="8" t="s">
        <v>46</v>
      </c>
      <c r="H126" s="17">
        <v>3</v>
      </c>
      <c r="I126" s="17">
        <v>149.99</v>
      </c>
      <c r="J126" s="8" t="s">
        <v>26</v>
      </c>
      <c r="K126" s="8" t="s">
        <v>35</v>
      </c>
      <c r="L126" s="8" t="s">
        <v>36</v>
      </c>
      <c r="M126" s="16">
        <v>44940</v>
      </c>
      <c r="N126" s="18">
        <v>449.97</v>
      </c>
      <c r="V126" s="27">
        <f t="shared" si="3"/>
        <v>35</v>
      </c>
      <c r="AB126" s="27" t="str">
        <f t="shared" si="4"/>
        <v>CE</v>
      </c>
    </row>
    <row r="127" spans="1:28" ht="18" customHeight="1" x14ac:dyDescent="0.3">
      <c r="A127" s="15" t="s">
        <v>266</v>
      </c>
      <c r="B127" s="16">
        <v>45576</v>
      </c>
      <c r="C127" s="8" t="s">
        <v>147</v>
      </c>
      <c r="D127" s="8" t="s">
        <v>148</v>
      </c>
      <c r="E127" s="8" t="s">
        <v>105</v>
      </c>
      <c r="F127" s="8" t="s">
        <v>106</v>
      </c>
      <c r="G127" s="8" t="s">
        <v>46</v>
      </c>
      <c r="H127" s="17">
        <v>3</v>
      </c>
      <c r="I127" s="17">
        <v>299.99</v>
      </c>
      <c r="J127" s="8" t="s">
        <v>26</v>
      </c>
      <c r="K127" s="8" t="s">
        <v>21</v>
      </c>
      <c r="L127" s="8" t="s">
        <v>36</v>
      </c>
      <c r="M127" s="16">
        <v>45174</v>
      </c>
      <c r="N127" s="18">
        <v>899.97</v>
      </c>
      <c r="V127" s="27">
        <f t="shared" si="3"/>
        <v>26</v>
      </c>
      <c r="AB127" s="27" t="str">
        <f t="shared" si="4"/>
        <v>DK</v>
      </c>
    </row>
    <row r="128" spans="1:28" ht="18" customHeight="1" x14ac:dyDescent="0.3">
      <c r="A128" s="15" t="s">
        <v>267</v>
      </c>
      <c r="B128" s="16">
        <v>45579</v>
      </c>
      <c r="C128" s="8" t="s">
        <v>83</v>
      </c>
      <c r="D128" s="8" t="s">
        <v>84</v>
      </c>
      <c r="E128" s="8" t="s">
        <v>61</v>
      </c>
      <c r="F128" s="8" t="s">
        <v>62</v>
      </c>
      <c r="G128" s="8" t="s">
        <v>19</v>
      </c>
      <c r="H128" s="17">
        <v>3</v>
      </c>
      <c r="I128" s="17">
        <v>899.99</v>
      </c>
      <c r="J128" s="8" t="s">
        <v>34</v>
      </c>
      <c r="K128" s="8" t="s">
        <v>50</v>
      </c>
      <c r="L128" s="8" t="s">
        <v>22</v>
      </c>
      <c r="M128" s="16">
        <v>45215</v>
      </c>
      <c r="N128" s="18">
        <v>2699.97</v>
      </c>
      <c r="V128" s="27">
        <f t="shared" si="3"/>
        <v>24</v>
      </c>
      <c r="AB128" s="27" t="str">
        <f t="shared" si="4"/>
        <v>GA</v>
      </c>
    </row>
    <row r="129" spans="1:28" ht="18" customHeight="1" x14ac:dyDescent="0.3">
      <c r="A129" s="15" t="s">
        <v>268</v>
      </c>
      <c r="B129" s="16">
        <v>45581</v>
      </c>
      <c r="C129" s="8" t="s">
        <v>96</v>
      </c>
      <c r="D129" s="8" t="s">
        <v>97</v>
      </c>
      <c r="E129" s="8" t="s">
        <v>80</v>
      </c>
      <c r="F129" s="8" t="s">
        <v>81</v>
      </c>
      <c r="G129" s="8" t="s">
        <v>19</v>
      </c>
      <c r="H129" s="17">
        <v>5</v>
      </c>
      <c r="I129" s="17">
        <v>699.99</v>
      </c>
      <c r="J129" s="8" t="s">
        <v>20</v>
      </c>
      <c r="K129" s="8" t="s">
        <v>63</v>
      </c>
      <c r="L129" s="8" t="s">
        <v>36</v>
      </c>
      <c r="M129" s="16">
        <v>45008</v>
      </c>
      <c r="N129" s="18">
        <v>3499.95</v>
      </c>
      <c r="V129" s="27">
        <f t="shared" si="3"/>
        <v>30</v>
      </c>
      <c r="AB129" s="27" t="str">
        <f t="shared" si="4"/>
        <v>BY</v>
      </c>
    </row>
    <row r="130" spans="1:28" ht="18" customHeight="1" x14ac:dyDescent="0.3">
      <c r="A130" s="15" t="s">
        <v>269</v>
      </c>
      <c r="B130" s="16">
        <v>45581</v>
      </c>
      <c r="C130" s="8" t="s">
        <v>171</v>
      </c>
      <c r="D130" s="8" t="s">
        <v>172</v>
      </c>
      <c r="E130" s="8" t="s">
        <v>80</v>
      </c>
      <c r="F130" s="8" t="s">
        <v>81</v>
      </c>
      <c r="G130" s="8" t="s">
        <v>19</v>
      </c>
      <c r="H130" s="17">
        <v>4</v>
      </c>
      <c r="I130" s="17">
        <v>699.99</v>
      </c>
      <c r="J130" s="8" t="s">
        <v>26</v>
      </c>
      <c r="K130" s="8" t="s">
        <v>21</v>
      </c>
      <c r="L130" s="8" t="s">
        <v>22</v>
      </c>
      <c r="M130" s="16">
        <v>45385</v>
      </c>
      <c r="N130" s="18">
        <v>2799.96</v>
      </c>
      <c r="V130" s="27">
        <f t="shared" si="3"/>
        <v>30</v>
      </c>
      <c r="AB130" s="27" t="str">
        <f t="shared" si="4"/>
        <v>RR</v>
      </c>
    </row>
    <row r="131" spans="1:28" ht="18" customHeight="1" x14ac:dyDescent="0.3">
      <c r="A131" s="15" t="s">
        <v>270</v>
      </c>
      <c r="B131" s="16">
        <v>45581</v>
      </c>
      <c r="C131" s="8" t="s">
        <v>150</v>
      </c>
      <c r="D131" s="8" t="s">
        <v>151</v>
      </c>
      <c r="E131" s="8" t="s">
        <v>61</v>
      </c>
      <c r="F131" s="8" t="s">
        <v>62</v>
      </c>
      <c r="G131" s="8" t="s">
        <v>19</v>
      </c>
      <c r="H131" s="17">
        <v>1</v>
      </c>
      <c r="I131" s="17">
        <v>899.99</v>
      </c>
      <c r="J131" s="8" t="s">
        <v>26</v>
      </c>
      <c r="K131" s="8" t="s">
        <v>63</v>
      </c>
      <c r="L131" s="8" t="s">
        <v>36</v>
      </c>
      <c r="M131" s="16">
        <v>45369</v>
      </c>
      <c r="N131" s="18">
        <v>899.99</v>
      </c>
      <c r="V131" s="27">
        <f t="shared" ref="V131:V194" si="5">COUNTIF($F:$F,F131)</f>
        <v>24</v>
      </c>
      <c r="AB131" s="27" t="str">
        <f t="shared" ref="AB131:AB194" si="6">UPPER(LEFT(D131,1)&amp;MID(D131,FIND(" ",D131)+1,1))</f>
        <v>SB</v>
      </c>
    </row>
    <row r="132" spans="1:28" ht="18" customHeight="1" x14ac:dyDescent="0.3">
      <c r="A132" s="15" t="s">
        <v>271</v>
      </c>
      <c r="B132" s="16">
        <v>45583</v>
      </c>
      <c r="C132" s="8" t="s">
        <v>226</v>
      </c>
      <c r="D132" s="8" t="s">
        <v>227</v>
      </c>
      <c r="E132" s="8" t="s">
        <v>52</v>
      </c>
      <c r="F132" s="8" t="s">
        <v>53</v>
      </c>
      <c r="G132" s="8" t="s">
        <v>19</v>
      </c>
      <c r="H132" s="17">
        <v>2</v>
      </c>
      <c r="I132" s="17">
        <v>149.99</v>
      </c>
      <c r="J132" s="8" t="s">
        <v>26</v>
      </c>
      <c r="K132" s="8" t="s">
        <v>50</v>
      </c>
      <c r="L132" s="8" t="s">
        <v>22</v>
      </c>
      <c r="M132" s="16">
        <v>44916</v>
      </c>
      <c r="N132" s="18">
        <v>299.98</v>
      </c>
      <c r="V132" s="27">
        <f t="shared" si="5"/>
        <v>16</v>
      </c>
      <c r="AB132" s="27" t="str">
        <f t="shared" si="6"/>
        <v>LR</v>
      </c>
    </row>
    <row r="133" spans="1:28" ht="18" customHeight="1" x14ac:dyDescent="0.3">
      <c r="A133" s="15" t="s">
        <v>272</v>
      </c>
      <c r="B133" s="16">
        <v>45586</v>
      </c>
      <c r="C133" s="8" t="s">
        <v>226</v>
      </c>
      <c r="D133" s="8" t="s">
        <v>227</v>
      </c>
      <c r="E133" s="8" t="s">
        <v>117</v>
      </c>
      <c r="F133" s="8" t="s">
        <v>118</v>
      </c>
      <c r="G133" s="8" t="s">
        <v>19</v>
      </c>
      <c r="H133" s="17">
        <v>3</v>
      </c>
      <c r="I133" s="17">
        <v>89.99</v>
      </c>
      <c r="J133" s="8" t="s">
        <v>34</v>
      </c>
      <c r="K133" s="8" t="s">
        <v>21</v>
      </c>
      <c r="L133" s="8" t="s">
        <v>22</v>
      </c>
      <c r="M133" s="16">
        <v>44551</v>
      </c>
      <c r="N133" s="18">
        <v>269.97000000000003</v>
      </c>
      <c r="V133" s="27">
        <f t="shared" si="5"/>
        <v>34</v>
      </c>
      <c r="AB133" s="27" t="str">
        <f t="shared" si="6"/>
        <v>LR</v>
      </c>
    </row>
    <row r="134" spans="1:28" ht="18" customHeight="1" x14ac:dyDescent="0.3">
      <c r="A134" s="15" t="s">
        <v>273</v>
      </c>
      <c r="B134" s="16">
        <v>45588</v>
      </c>
      <c r="C134" s="8" t="s">
        <v>38</v>
      </c>
      <c r="D134" s="8" t="s">
        <v>39</v>
      </c>
      <c r="E134" s="8" t="s">
        <v>52</v>
      </c>
      <c r="F134" s="8" t="s">
        <v>53</v>
      </c>
      <c r="G134" s="8" t="s">
        <v>19</v>
      </c>
      <c r="H134" s="17">
        <v>2</v>
      </c>
      <c r="I134" s="17">
        <v>149.99</v>
      </c>
      <c r="J134" s="8" t="s">
        <v>34</v>
      </c>
      <c r="K134" s="8" t="s">
        <v>21</v>
      </c>
      <c r="L134" s="8" t="s">
        <v>22</v>
      </c>
      <c r="M134" s="16">
        <v>44473</v>
      </c>
      <c r="N134" s="18">
        <v>299.98</v>
      </c>
      <c r="V134" s="27">
        <f t="shared" si="5"/>
        <v>16</v>
      </c>
      <c r="AB134" s="27" t="str">
        <f t="shared" si="6"/>
        <v>KB</v>
      </c>
    </row>
    <row r="135" spans="1:28" ht="18" customHeight="1" x14ac:dyDescent="0.3">
      <c r="A135" s="15" t="s">
        <v>274</v>
      </c>
      <c r="B135" s="16">
        <v>45588</v>
      </c>
      <c r="C135" s="8" t="s">
        <v>154</v>
      </c>
      <c r="D135" s="8" t="s">
        <v>155</v>
      </c>
      <c r="E135" s="8" t="s">
        <v>80</v>
      </c>
      <c r="F135" s="8" t="s">
        <v>81</v>
      </c>
      <c r="G135" s="8" t="s">
        <v>19</v>
      </c>
      <c r="H135" s="17">
        <v>2</v>
      </c>
      <c r="I135" s="17">
        <v>699.99</v>
      </c>
      <c r="J135" s="8" t="s">
        <v>20</v>
      </c>
      <c r="K135" s="8" t="s">
        <v>21</v>
      </c>
      <c r="L135" s="8" t="s">
        <v>22</v>
      </c>
      <c r="M135" s="16">
        <v>44992</v>
      </c>
      <c r="N135" s="18">
        <v>1399.98</v>
      </c>
      <c r="V135" s="27">
        <f t="shared" si="5"/>
        <v>30</v>
      </c>
      <c r="AB135" s="27" t="str">
        <f t="shared" si="6"/>
        <v>SD</v>
      </c>
    </row>
    <row r="136" spans="1:28" ht="18" customHeight="1" x14ac:dyDescent="0.3">
      <c r="A136" s="15" t="s">
        <v>275</v>
      </c>
      <c r="B136" s="16">
        <v>45589</v>
      </c>
      <c r="C136" s="8" t="s">
        <v>158</v>
      </c>
      <c r="D136" s="8" t="s">
        <v>159</v>
      </c>
      <c r="E136" s="8" t="s">
        <v>80</v>
      </c>
      <c r="F136" s="8" t="s">
        <v>81</v>
      </c>
      <c r="G136" s="8" t="s">
        <v>19</v>
      </c>
      <c r="H136" s="17">
        <v>5</v>
      </c>
      <c r="I136" s="17">
        <v>699.99</v>
      </c>
      <c r="J136" s="8" t="s">
        <v>20</v>
      </c>
      <c r="K136" s="8" t="s">
        <v>40</v>
      </c>
      <c r="L136" s="8" t="s">
        <v>27</v>
      </c>
      <c r="M136" s="16">
        <v>44635</v>
      </c>
      <c r="N136" s="18">
        <v>3499.95</v>
      </c>
      <c r="V136" s="27">
        <f t="shared" si="5"/>
        <v>30</v>
      </c>
      <c r="AB136" s="27" t="str">
        <f t="shared" si="6"/>
        <v>BC</v>
      </c>
    </row>
    <row r="137" spans="1:28" ht="18" customHeight="1" x14ac:dyDescent="0.3">
      <c r="A137" s="15" t="s">
        <v>276</v>
      </c>
      <c r="B137" s="16">
        <v>45592</v>
      </c>
      <c r="C137" s="8" t="s">
        <v>171</v>
      </c>
      <c r="D137" s="8" t="s">
        <v>172</v>
      </c>
      <c r="E137" s="8" t="s">
        <v>117</v>
      </c>
      <c r="F137" s="8" t="s">
        <v>118</v>
      </c>
      <c r="G137" s="8" t="s">
        <v>19</v>
      </c>
      <c r="H137" s="17">
        <v>3</v>
      </c>
      <c r="I137" s="17">
        <v>89.99</v>
      </c>
      <c r="J137" s="8" t="s">
        <v>26</v>
      </c>
      <c r="K137" s="8" t="s">
        <v>40</v>
      </c>
      <c r="L137" s="8" t="s">
        <v>36</v>
      </c>
      <c r="M137" s="16">
        <v>44615</v>
      </c>
      <c r="N137" s="18">
        <v>269.97000000000003</v>
      </c>
      <c r="V137" s="27">
        <f t="shared" si="5"/>
        <v>34</v>
      </c>
      <c r="AB137" s="27" t="str">
        <f t="shared" si="6"/>
        <v>RR</v>
      </c>
    </row>
    <row r="138" spans="1:28" ht="18" customHeight="1" x14ac:dyDescent="0.3">
      <c r="A138" s="15" t="s">
        <v>277</v>
      </c>
      <c r="B138" s="16">
        <v>45597</v>
      </c>
      <c r="C138" s="8" t="s">
        <v>15</v>
      </c>
      <c r="D138" s="8" t="s">
        <v>16</v>
      </c>
      <c r="E138" s="8" t="s">
        <v>17</v>
      </c>
      <c r="F138" s="8" t="s">
        <v>18</v>
      </c>
      <c r="G138" s="8" t="s">
        <v>19</v>
      </c>
      <c r="H138" s="17">
        <v>5</v>
      </c>
      <c r="I138" s="17">
        <v>249.99</v>
      </c>
      <c r="J138" s="8" t="s">
        <v>26</v>
      </c>
      <c r="K138" s="8" t="s">
        <v>35</v>
      </c>
      <c r="L138" s="8" t="s">
        <v>36</v>
      </c>
      <c r="M138" s="16">
        <v>44881</v>
      </c>
      <c r="N138" s="18">
        <v>1249.95</v>
      </c>
      <c r="V138" s="27">
        <f t="shared" si="5"/>
        <v>26</v>
      </c>
      <c r="AB138" s="27" t="str">
        <f t="shared" si="6"/>
        <v>PB</v>
      </c>
    </row>
    <row r="139" spans="1:28" ht="18" customHeight="1" x14ac:dyDescent="0.3">
      <c r="A139" s="15" t="s">
        <v>278</v>
      </c>
      <c r="B139" s="16">
        <v>45600</v>
      </c>
      <c r="C139" s="8" t="s">
        <v>65</v>
      </c>
      <c r="D139" s="8" t="s">
        <v>66</v>
      </c>
      <c r="E139" s="8" t="s">
        <v>105</v>
      </c>
      <c r="F139" s="8" t="s">
        <v>106</v>
      </c>
      <c r="G139" s="8" t="s">
        <v>46</v>
      </c>
      <c r="H139" s="17">
        <v>3</v>
      </c>
      <c r="I139" s="17">
        <v>299.99</v>
      </c>
      <c r="J139" s="8" t="s">
        <v>26</v>
      </c>
      <c r="K139" s="8" t="s">
        <v>35</v>
      </c>
      <c r="L139" s="8" t="s">
        <v>36</v>
      </c>
      <c r="M139" s="16">
        <v>44502</v>
      </c>
      <c r="N139" s="18">
        <v>899.97</v>
      </c>
      <c r="V139" s="27">
        <f t="shared" si="5"/>
        <v>26</v>
      </c>
      <c r="AB139" s="27" t="str">
        <f t="shared" si="6"/>
        <v>KH</v>
      </c>
    </row>
    <row r="140" spans="1:28" ht="18" customHeight="1" x14ac:dyDescent="0.3">
      <c r="A140" s="15" t="s">
        <v>279</v>
      </c>
      <c r="B140" s="16">
        <v>45603</v>
      </c>
      <c r="C140" s="8" t="s">
        <v>99</v>
      </c>
      <c r="D140" s="8" t="s">
        <v>100</v>
      </c>
      <c r="E140" s="8" t="s">
        <v>117</v>
      </c>
      <c r="F140" s="8" t="s">
        <v>118</v>
      </c>
      <c r="G140" s="8" t="s">
        <v>19</v>
      </c>
      <c r="H140" s="17">
        <v>3</v>
      </c>
      <c r="I140" s="17">
        <v>89.99</v>
      </c>
      <c r="J140" s="8" t="s">
        <v>26</v>
      </c>
      <c r="K140" s="8" t="s">
        <v>40</v>
      </c>
      <c r="L140" s="8" t="s">
        <v>27</v>
      </c>
      <c r="M140" s="16">
        <v>44420</v>
      </c>
      <c r="N140" s="18">
        <v>269.97000000000003</v>
      </c>
      <c r="V140" s="27">
        <f t="shared" si="5"/>
        <v>34</v>
      </c>
      <c r="AB140" s="27" t="str">
        <f t="shared" si="6"/>
        <v>PM</v>
      </c>
    </row>
    <row r="141" spans="1:28" ht="18" customHeight="1" x14ac:dyDescent="0.3">
      <c r="A141" s="15" t="s">
        <v>280</v>
      </c>
      <c r="B141" s="16">
        <v>45604</v>
      </c>
      <c r="C141" s="8" t="s">
        <v>89</v>
      </c>
      <c r="D141" s="8" t="s">
        <v>90</v>
      </c>
      <c r="E141" s="8" t="s">
        <v>44</v>
      </c>
      <c r="F141" s="8" t="s">
        <v>45</v>
      </c>
      <c r="G141" s="8" t="s">
        <v>46</v>
      </c>
      <c r="H141" s="17">
        <v>2</v>
      </c>
      <c r="I141" s="17">
        <v>149.99</v>
      </c>
      <c r="J141" s="8" t="s">
        <v>26</v>
      </c>
      <c r="K141" s="8" t="s">
        <v>50</v>
      </c>
      <c r="L141" s="8" t="s">
        <v>27</v>
      </c>
      <c r="M141" s="16">
        <v>44848</v>
      </c>
      <c r="N141" s="18">
        <v>299.98</v>
      </c>
      <c r="V141" s="27">
        <f t="shared" si="5"/>
        <v>35</v>
      </c>
      <c r="AB141" s="27" t="str">
        <f t="shared" si="6"/>
        <v>MG</v>
      </c>
    </row>
    <row r="142" spans="1:28" ht="18" customHeight="1" x14ac:dyDescent="0.3">
      <c r="A142" s="15" t="s">
        <v>281</v>
      </c>
      <c r="B142" s="16">
        <v>45605</v>
      </c>
      <c r="C142" s="8" t="s">
        <v>185</v>
      </c>
      <c r="D142" s="8" t="s">
        <v>186</v>
      </c>
      <c r="E142" s="8" t="s">
        <v>17</v>
      </c>
      <c r="F142" s="8" t="s">
        <v>18</v>
      </c>
      <c r="G142" s="8" t="s">
        <v>19</v>
      </c>
      <c r="H142" s="17">
        <v>1</v>
      </c>
      <c r="I142" s="17">
        <v>249.99</v>
      </c>
      <c r="J142" s="8" t="s">
        <v>26</v>
      </c>
      <c r="K142" s="8" t="s">
        <v>40</v>
      </c>
      <c r="L142" s="8" t="s">
        <v>27</v>
      </c>
      <c r="M142" s="16">
        <v>44828</v>
      </c>
      <c r="N142" s="18">
        <v>249.99</v>
      </c>
      <c r="V142" s="27">
        <f t="shared" si="5"/>
        <v>26</v>
      </c>
      <c r="AB142" s="27" t="str">
        <f t="shared" si="6"/>
        <v>MW</v>
      </c>
    </row>
    <row r="143" spans="1:28" ht="18" customHeight="1" x14ac:dyDescent="0.3">
      <c r="A143" s="15" t="s">
        <v>282</v>
      </c>
      <c r="B143" s="16">
        <v>45607</v>
      </c>
      <c r="C143" s="8" t="s">
        <v>72</v>
      </c>
      <c r="D143" s="8" t="s">
        <v>73</v>
      </c>
      <c r="E143" s="8" t="s">
        <v>52</v>
      </c>
      <c r="F143" s="8" t="s">
        <v>53</v>
      </c>
      <c r="G143" s="8" t="s">
        <v>19</v>
      </c>
      <c r="H143" s="17">
        <v>3</v>
      </c>
      <c r="I143" s="17">
        <v>149.99</v>
      </c>
      <c r="J143" s="8" t="s">
        <v>20</v>
      </c>
      <c r="K143" s="8" t="s">
        <v>40</v>
      </c>
      <c r="L143" s="8" t="s">
        <v>22</v>
      </c>
      <c r="M143" s="16">
        <v>44769</v>
      </c>
      <c r="N143" s="18">
        <v>449.97</v>
      </c>
      <c r="V143" s="27">
        <f t="shared" si="5"/>
        <v>16</v>
      </c>
      <c r="AB143" s="27" t="str">
        <f t="shared" si="6"/>
        <v>PR</v>
      </c>
    </row>
    <row r="144" spans="1:28" ht="18" customHeight="1" x14ac:dyDescent="0.3">
      <c r="A144" s="15" t="s">
        <v>283</v>
      </c>
      <c r="B144" s="16">
        <v>45607</v>
      </c>
      <c r="C144" s="8" t="s">
        <v>15</v>
      </c>
      <c r="D144" s="8" t="s">
        <v>16</v>
      </c>
      <c r="E144" s="8" t="s">
        <v>31</v>
      </c>
      <c r="F144" s="8" t="s">
        <v>32</v>
      </c>
      <c r="G144" s="8" t="s">
        <v>33</v>
      </c>
      <c r="H144" s="17">
        <v>5</v>
      </c>
      <c r="I144" s="17">
        <v>59.99</v>
      </c>
      <c r="J144" s="8" t="s">
        <v>34</v>
      </c>
      <c r="K144" s="8" t="s">
        <v>50</v>
      </c>
      <c r="L144" s="8" t="s">
        <v>27</v>
      </c>
      <c r="M144" s="16">
        <v>44694</v>
      </c>
      <c r="N144" s="18">
        <v>299.95</v>
      </c>
      <c r="V144" s="27">
        <f t="shared" si="5"/>
        <v>29</v>
      </c>
      <c r="AB144" s="27" t="str">
        <f t="shared" si="6"/>
        <v>PB</v>
      </c>
    </row>
    <row r="145" spans="1:28" ht="18" customHeight="1" x14ac:dyDescent="0.3">
      <c r="A145" s="15" t="s">
        <v>284</v>
      </c>
      <c r="B145" s="16">
        <v>45607</v>
      </c>
      <c r="C145" s="8" t="s">
        <v>99</v>
      </c>
      <c r="D145" s="8" t="s">
        <v>100</v>
      </c>
      <c r="E145" s="8" t="s">
        <v>17</v>
      </c>
      <c r="F145" s="8" t="s">
        <v>18</v>
      </c>
      <c r="G145" s="8" t="s">
        <v>19</v>
      </c>
      <c r="H145" s="17">
        <v>4</v>
      </c>
      <c r="I145" s="17">
        <v>249.99</v>
      </c>
      <c r="J145" s="8" t="s">
        <v>26</v>
      </c>
      <c r="K145" s="8" t="s">
        <v>50</v>
      </c>
      <c r="L145" s="8" t="s">
        <v>36</v>
      </c>
      <c r="M145" s="16">
        <v>44659</v>
      </c>
      <c r="N145" s="18">
        <v>999.96</v>
      </c>
      <c r="V145" s="27">
        <f t="shared" si="5"/>
        <v>26</v>
      </c>
      <c r="AB145" s="27" t="str">
        <f t="shared" si="6"/>
        <v>PM</v>
      </c>
    </row>
    <row r="146" spans="1:28" ht="18" customHeight="1" x14ac:dyDescent="0.3">
      <c r="A146" s="15" t="s">
        <v>285</v>
      </c>
      <c r="B146" s="16">
        <v>45608</v>
      </c>
      <c r="C146" s="8" t="s">
        <v>154</v>
      </c>
      <c r="D146" s="8" t="s">
        <v>155</v>
      </c>
      <c r="E146" s="8" t="s">
        <v>44</v>
      </c>
      <c r="F146" s="8" t="s">
        <v>45</v>
      </c>
      <c r="G146" s="8" t="s">
        <v>46</v>
      </c>
      <c r="H146" s="17">
        <v>5</v>
      </c>
      <c r="I146" s="17">
        <v>149.99</v>
      </c>
      <c r="J146" s="8" t="s">
        <v>34</v>
      </c>
      <c r="K146" s="8" t="s">
        <v>21</v>
      </c>
      <c r="L146" s="8" t="s">
        <v>22</v>
      </c>
      <c r="M146" s="16">
        <v>44901</v>
      </c>
      <c r="N146" s="18">
        <v>749.95</v>
      </c>
      <c r="V146" s="27">
        <f t="shared" si="5"/>
        <v>35</v>
      </c>
      <c r="AB146" s="27" t="str">
        <f t="shared" si="6"/>
        <v>SD</v>
      </c>
    </row>
    <row r="147" spans="1:28" ht="18" customHeight="1" x14ac:dyDescent="0.3">
      <c r="A147" s="15" t="s">
        <v>286</v>
      </c>
      <c r="B147" s="16">
        <v>45608</v>
      </c>
      <c r="C147" s="8" t="s">
        <v>83</v>
      </c>
      <c r="D147" s="8" t="s">
        <v>84</v>
      </c>
      <c r="E147" s="8" t="s">
        <v>31</v>
      </c>
      <c r="F147" s="8" t="s">
        <v>32</v>
      </c>
      <c r="G147" s="8" t="s">
        <v>33</v>
      </c>
      <c r="H147" s="17">
        <v>3</v>
      </c>
      <c r="I147" s="17">
        <v>59.99</v>
      </c>
      <c r="J147" s="8" t="s">
        <v>57</v>
      </c>
      <c r="K147" s="8" t="s">
        <v>35</v>
      </c>
      <c r="L147" s="8" t="s">
        <v>36</v>
      </c>
      <c r="M147" s="16">
        <v>45260</v>
      </c>
      <c r="N147" s="18">
        <v>179.97</v>
      </c>
      <c r="V147" s="27">
        <f t="shared" si="5"/>
        <v>29</v>
      </c>
      <c r="AB147" s="27" t="str">
        <f t="shared" si="6"/>
        <v>GA</v>
      </c>
    </row>
    <row r="148" spans="1:28" ht="18" customHeight="1" x14ac:dyDescent="0.3">
      <c r="A148" s="15" t="s">
        <v>287</v>
      </c>
      <c r="B148" s="16">
        <v>45613</v>
      </c>
      <c r="C148" s="8" t="s">
        <v>234</v>
      </c>
      <c r="D148" s="8" t="s">
        <v>235</v>
      </c>
      <c r="E148" s="8" t="s">
        <v>44</v>
      </c>
      <c r="F148" s="8" t="s">
        <v>45</v>
      </c>
      <c r="G148" s="8" t="s">
        <v>46</v>
      </c>
      <c r="H148" s="17">
        <v>5</v>
      </c>
      <c r="I148" s="17">
        <v>149.99</v>
      </c>
      <c r="J148" s="8" t="s">
        <v>20</v>
      </c>
      <c r="K148" s="8" t="s">
        <v>40</v>
      </c>
      <c r="L148" s="8" t="s">
        <v>22</v>
      </c>
      <c r="M148" s="16">
        <v>44869</v>
      </c>
      <c r="N148" s="18">
        <v>749.95</v>
      </c>
      <c r="V148" s="27">
        <f t="shared" si="5"/>
        <v>35</v>
      </c>
      <c r="AB148" s="27" t="str">
        <f t="shared" si="6"/>
        <v>SP</v>
      </c>
    </row>
    <row r="149" spans="1:28" ht="18" customHeight="1" x14ac:dyDescent="0.3">
      <c r="A149" s="15" t="s">
        <v>288</v>
      </c>
      <c r="B149" s="16">
        <v>45613</v>
      </c>
      <c r="C149" s="8" t="s">
        <v>86</v>
      </c>
      <c r="D149" s="8" t="s">
        <v>87</v>
      </c>
      <c r="E149" s="8" t="s">
        <v>80</v>
      </c>
      <c r="F149" s="8" t="s">
        <v>81</v>
      </c>
      <c r="G149" s="8" t="s">
        <v>19</v>
      </c>
      <c r="H149" s="17">
        <v>2</v>
      </c>
      <c r="I149" s="17">
        <v>699.99</v>
      </c>
      <c r="J149" s="8" t="s">
        <v>34</v>
      </c>
      <c r="K149" s="8" t="s">
        <v>50</v>
      </c>
      <c r="L149" s="8" t="s">
        <v>36</v>
      </c>
      <c r="M149" s="16">
        <v>44770</v>
      </c>
      <c r="N149" s="18">
        <v>1399.98</v>
      </c>
      <c r="V149" s="27">
        <f t="shared" si="5"/>
        <v>30</v>
      </c>
      <c r="AB149" s="27" t="str">
        <f t="shared" si="6"/>
        <v>MC</v>
      </c>
    </row>
    <row r="150" spans="1:28" ht="18" customHeight="1" x14ac:dyDescent="0.3">
      <c r="A150" s="15" t="s">
        <v>289</v>
      </c>
      <c r="B150" s="16">
        <v>45617</v>
      </c>
      <c r="C150" s="8" t="s">
        <v>123</v>
      </c>
      <c r="D150" s="8" t="s">
        <v>124</v>
      </c>
      <c r="E150" s="8" t="s">
        <v>126</v>
      </c>
      <c r="F150" s="8" t="s">
        <v>127</v>
      </c>
      <c r="G150" s="8" t="s">
        <v>46</v>
      </c>
      <c r="H150" s="17">
        <v>4</v>
      </c>
      <c r="I150" s="17">
        <v>199.99</v>
      </c>
      <c r="J150" s="8" t="s">
        <v>57</v>
      </c>
      <c r="K150" s="8" t="s">
        <v>21</v>
      </c>
      <c r="L150" s="8" t="s">
        <v>27</v>
      </c>
      <c r="M150" s="16">
        <v>44427</v>
      </c>
      <c r="N150" s="18">
        <v>799.96</v>
      </c>
      <c r="V150" s="27">
        <f t="shared" si="5"/>
        <v>15</v>
      </c>
      <c r="AB150" s="27" t="str">
        <f t="shared" si="6"/>
        <v>EM</v>
      </c>
    </row>
    <row r="151" spans="1:28" ht="18" customHeight="1" x14ac:dyDescent="0.3">
      <c r="A151" s="15" t="s">
        <v>290</v>
      </c>
      <c r="B151" s="16">
        <v>45619</v>
      </c>
      <c r="C151" s="8" t="s">
        <v>192</v>
      </c>
      <c r="D151" s="8" t="s">
        <v>193</v>
      </c>
      <c r="E151" s="8" t="s">
        <v>31</v>
      </c>
      <c r="F151" s="8" t="s">
        <v>32</v>
      </c>
      <c r="G151" s="8" t="s">
        <v>33</v>
      </c>
      <c r="H151" s="17">
        <v>1</v>
      </c>
      <c r="I151" s="17">
        <v>59.99</v>
      </c>
      <c r="J151" s="8" t="s">
        <v>57</v>
      </c>
      <c r="K151" s="8" t="s">
        <v>50</v>
      </c>
      <c r="L151" s="8" t="s">
        <v>36</v>
      </c>
      <c r="M151" s="16">
        <v>44560</v>
      </c>
      <c r="N151" s="18">
        <v>59.99</v>
      </c>
      <c r="V151" s="27">
        <f t="shared" si="5"/>
        <v>29</v>
      </c>
      <c r="AB151" s="27" t="str">
        <f t="shared" si="6"/>
        <v>FT</v>
      </c>
    </row>
    <row r="152" spans="1:28" ht="18" customHeight="1" x14ac:dyDescent="0.3">
      <c r="A152" s="15" t="s">
        <v>291</v>
      </c>
      <c r="B152" s="16">
        <v>45619</v>
      </c>
      <c r="C152" s="8" t="s">
        <v>154</v>
      </c>
      <c r="D152" s="8" t="s">
        <v>155</v>
      </c>
      <c r="E152" s="8" t="s">
        <v>80</v>
      </c>
      <c r="F152" s="8" t="s">
        <v>81</v>
      </c>
      <c r="G152" s="8" t="s">
        <v>19</v>
      </c>
      <c r="H152" s="17">
        <v>3</v>
      </c>
      <c r="I152" s="17">
        <v>699.99</v>
      </c>
      <c r="J152" s="8" t="s">
        <v>34</v>
      </c>
      <c r="K152" s="8" t="s">
        <v>50</v>
      </c>
      <c r="L152" s="8" t="s">
        <v>36</v>
      </c>
      <c r="M152" s="16">
        <v>44583</v>
      </c>
      <c r="N152" s="18">
        <v>2099.9699999999998</v>
      </c>
      <c r="V152" s="27">
        <f t="shared" si="5"/>
        <v>30</v>
      </c>
      <c r="AB152" s="27" t="str">
        <f t="shared" si="6"/>
        <v>SD</v>
      </c>
    </row>
    <row r="153" spans="1:28" ht="18" customHeight="1" x14ac:dyDescent="0.3">
      <c r="A153" s="15" t="s">
        <v>292</v>
      </c>
      <c r="B153" s="16">
        <v>45622</v>
      </c>
      <c r="C153" s="8" t="s">
        <v>293</v>
      </c>
      <c r="D153" s="8" t="s">
        <v>294</v>
      </c>
      <c r="E153" s="8" t="s">
        <v>17</v>
      </c>
      <c r="F153" s="8" t="s">
        <v>18</v>
      </c>
      <c r="G153" s="8" t="s">
        <v>19</v>
      </c>
      <c r="H153" s="17">
        <v>5</v>
      </c>
      <c r="I153" s="17">
        <v>249.99</v>
      </c>
      <c r="J153" s="8" t="s">
        <v>26</v>
      </c>
      <c r="K153" s="8" t="s">
        <v>40</v>
      </c>
      <c r="L153" s="8" t="s">
        <v>22</v>
      </c>
      <c r="M153" s="16">
        <v>44873</v>
      </c>
      <c r="N153" s="18">
        <v>1249.95</v>
      </c>
      <c r="V153" s="27">
        <f t="shared" si="5"/>
        <v>26</v>
      </c>
      <c r="AB153" s="27" t="str">
        <f t="shared" si="6"/>
        <v>DW</v>
      </c>
    </row>
    <row r="154" spans="1:28" ht="18" customHeight="1" x14ac:dyDescent="0.3">
      <c r="A154" s="15" t="s">
        <v>295</v>
      </c>
      <c r="B154" s="16">
        <v>45623</v>
      </c>
      <c r="C154" s="8" t="s">
        <v>112</v>
      </c>
      <c r="D154" s="8" t="s">
        <v>113</v>
      </c>
      <c r="E154" s="8" t="s">
        <v>44</v>
      </c>
      <c r="F154" s="8" t="s">
        <v>45</v>
      </c>
      <c r="G154" s="8" t="s">
        <v>46</v>
      </c>
      <c r="H154" s="17">
        <v>2</v>
      </c>
      <c r="I154" s="17">
        <v>149.99</v>
      </c>
      <c r="J154" s="8" t="s">
        <v>20</v>
      </c>
      <c r="K154" s="8" t="s">
        <v>35</v>
      </c>
      <c r="L154" s="8" t="s">
        <v>36</v>
      </c>
      <c r="M154" s="16">
        <v>45101</v>
      </c>
      <c r="N154" s="18">
        <v>299.98</v>
      </c>
      <c r="V154" s="27">
        <f t="shared" si="5"/>
        <v>35</v>
      </c>
      <c r="AB154" s="27" t="str">
        <f t="shared" si="6"/>
        <v>LM</v>
      </c>
    </row>
    <row r="155" spans="1:28" ht="18" customHeight="1" x14ac:dyDescent="0.3">
      <c r="A155" s="15" t="s">
        <v>296</v>
      </c>
      <c r="B155" s="16">
        <v>45627</v>
      </c>
      <c r="C155" s="8" t="s">
        <v>29</v>
      </c>
      <c r="D155" s="8" t="s">
        <v>30</v>
      </c>
      <c r="E155" s="8" t="s">
        <v>105</v>
      </c>
      <c r="F155" s="8" t="s">
        <v>106</v>
      </c>
      <c r="G155" s="8" t="s">
        <v>46</v>
      </c>
      <c r="H155" s="17">
        <v>3</v>
      </c>
      <c r="I155" s="17">
        <v>299.99</v>
      </c>
      <c r="J155" s="8" t="s">
        <v>20</v>
      </c>
      <c r="K155" s="8" t="s">
        <v>35</v>
      </c>
      <c r="L155" s="8" t="s">
        <v>27</v>
      </c>
      <c r="M155" s="16">
        <v>44659</v>
      </c>
      <c r="N155" s="18">
        <v>899.97</v>
      </c>
      <c r="V155" s="27">
        <f t="shared" si="5"/>
        <v>26</v>
      </c>
      <c r="AB155" s="27" t="str">
        <f t="shared" si="6"/>
        <v>KS</v>
      </c>
    </row>
    <row r="156" spans="1:28" ht="18" customHeight="1" x14ac:dyDescent="0.3">
      <c r="A156" s="15" t="s">
        <v>297</v>
      </c>
      <c r="B156" s="16">
        <v>45627</v>
      </c>
      <c r="C156" s="8" t="s">
        <v>55</v>
      </c>
      <c r="D156" s="8" t="s">
        <v>56</v>
      </c>
      <c r="E156" s="8" t="s">
        <v>17</v>
      </c>
      <c r="F156" s="8" t="s">
        <v>18</v>
      </c>
      <c r="G156" s="8" t="s">
        <v>19</v>
      </c>
      <c r="H156" s="17">
        <v>5</v>
      </c>
      <c r="I156" s="17">
        <v>249.99</v>
      </c>
      <c r="J156" s="8" t="s">
        <v>20</v>
      </c>
      <c r="K156" s="8" t="s">
        <v>21</v>
      </c>
      <c r="L156" s="8" t="s">
        <v>27</v>
      </c>
      <c r="M156" s="16">
        <v>44485</v>
      </c>
      <c r="N156" s="18">
        <v>1249.95</v>
      </c>
      <c r="V156" s="27">
        <f t="shared" si="5"/>
        <v>26</v>
      </c>
      <c r="AB156" s="27" t="str">
        <f t="shared" si="6"/>
        <v>CA</v>
      </c>
    </row>
    <row r="157" spans="1:28" ht="18" customHeight="1" x14ac:dyDescent="0.3">
      <c r="A157" s="15" t="s">
        <v>298</v>
      </c>
      <c r="B157" s="16">
        <v>45627</v>
      </c>
      <c r="C157" s="8" t="s">
        <v>24</v>
      </c>
      <c r="D157" s="8" t="s">
        <v>25</v>
      </c>
      <c r="E157" s="8" t="s">
        <v>52</v>
      </c>
      <c r="F157" s="8" t="s">
        <v>53</v>
      </c>
      <c r="G157" s="8" t="s">
        <v>19</v>
      </c>
      <c r="H157" s="17">
        <v>2</v>
      </c>
      <c r="I157" s="17">
        <v>149.99</v>
      </c>
      <c r="J157" s="8" t="s">
        <v>20</v>
      </c>
      <c r="K157" s="8" t="s">
        <v>35</v>
      </c>
      <c r="L157" s="8" t="s">
        <v>27</v>
      </c>
      <c r="M157" s="16">
        <v>44475</v>
      </c>
      <c r="N157" s="18">
        <v>299.98</v>
      </c>
      <c r="V157" s="27">
        <f t="shared" si="5"/>
        <v>16</v>
      </c>
      <c r="AB157" s="27" t="str">
        <f t="shared" si="6"/>
        <v>JJ</v>
      </c>
    </row>
    <row r="158" spans="1:28" ht="18" customHeight="1" x14ac:dyDescent="0.3">
      <c r="A158" s="15" t="s">
        <v>299</v>
      </c>
      <c r="B158" s="16">
        <v>45627</v>
      </c>
      <c r="C158" s="8" t="s">
        <v>86</v>
      </c>
      <c r="D158" s="8" t="s">
        <v>87</v>
      </c>
      <c r="E158" s="8" t="s">
        <v>80</v>
      </c>
      <c r="F158" s="8" t="s">
        <v>81</v>
      </c>
      <c r="G158" s="8" t="s">
        <v>19</v>
      </c>
      <c r="H158" s="17">
        <v>5</v>
      </c>
      <c r="I158" s="17">
        <v>699.99</v>
      </c>
      <c r="J158" s="8" t="s">
        <v>57</v>
      </c>
      <c r="K158" s="8" t="s">
        <v>50</v>
      </c>
      <c r="L158" s="8" t="s">
        <v>36</v>
      </c>
      <c r="M158" s="16">
        <v>44944</v>
      </c>
      <c r="N158" s="18">
        <v>3499.95</v>
      </c>
      <c r="V158" s="27">
        <f t="shared" si="5"/>
        <v>30</v>
      </c>
      <c r="AB158" s="27" t="str">
        <f t="shared" si="6"/>
        <v>MC</v>
      </c>
    </row>
    <row r="159" spans="1:28" ht="18" customHeight="1" x14ac:dyDescent="0.3">
      <c r="A159" s="15" t="s">
        <v>300</v>
      </c>
      <c r="B159" s="16">
        <v>45629</v>
      </c>
      <c r="C159" s="8" t="s">
        <v>252</v>
      </c>
      <c r="D159" s="8" t="s">
        <v>253</v>
      </c>
      <c r="E159" s="8" t="s">
        <v>17</v>
      </c>
      <c r="F159" s="8" t="s">
        <v>18</v>
      </c>
      <c r="G159" s="8" t="s">
        <v>19</v>
      </c>
      <c r="H159" s="17">
        <v>4</v>
      </c>
      <c r="I159" s="17">
        <v>249.99</v>
      </c>
      <c r="J159" s="8" t="s">
        <v>34</v>
      </c>
      <c r="K159" s="8" t="s">
        <v>63</v>
      </c>
      <c r="L159" s="8" t="s">
        <v>27</v>
      </c>
      <c r="M159" s="16">
        <v>45098</v>
      </c>
      <c r="N159" s="18">
        <v>999.96</v>
      </c>
      <c r="V159" s="27">
        <f t="shared" si="5"/>
        <v>26</v>
      </c>
      <c r="AB159" s="27" t="str">
        <f t="shared" si="6"/>
        <v>WW</v>
      </c>
    </row>
    <row r="160" spans="1:28" ht="18" customHeight="1" x14ac:dyDescent="0.3">
      <c r="A160" s="15" t="s">
        <v>301</v>
      </c>
      <c r="B160" s="16">
        <v>45630</v>
      </c>
      <c r="C160" s="8" t="s">
        <v>48</v>
      </c>
      <c r="D160" s="8" t="s">
        <v>49</v>
      </c>
      <c r="E160" s="8" t="s">
        <v>80</v>
      </c>
      <c r="F160" s="8" t="s">
        <v>81</v>
      </c>
      <c r="G160" s="8" t="s">
        <v>19</v>
      </c>
      <c r="H160" s="17">
        <v>4</v>
      </c>
      <c r="I160" s="17">
        <v>699.99</v>
      </c>
      <c r="J160" s="8" t="s">
        <v>26</v>
      </c>
      <c r="K160" s="8" t="s">
        <v>40</v>
      </c>
      <c r="L160" s="8" t="s">
        <v>27</v>
      </c>
      <c r="M160" s="16">
        <v>44703</v>
      </c>
      <c r="N160" s="18">
        <v>2799.96</v>
      </c>
      <c r="V160" s="27">
        <f t="shared" si="5"/>
        <v>30</v>
      </c>
      <c r="AB160" s="27" t="str">
        <f t="shared" si="6"/>
        <v>DN</v>
      </c>
    </row>
    <row r="161" spans="1:28" ht="18" customHeight="1" x14ac:dyDescent="0.3">
      <c r="A161" s="15" t="s">
        <v>302</v>
      </c>
      <c r="B161" s="16">
        <v>45635</v>
      </c>
      <c r="C161" s="8" t="s">
        <v>108</v>
      </c>
      <c r="D161" s="8" t="s">
        <v>109</v>
      </c>
      <c r="E161" s="8" t="s">
        <v>17</v>
      </c>
      <c r="F161" s="8" t="s">
        <v>18</v>
      </c>
      <c r="G161" s="8" t="s">
        <v>19</v>
      </c>
      <c r="H161" s="17">
        <v>2</v>
      </c>
      <c r="I161" s="17">
        <v>249.99</v>
      </c>
      <c r="J161" s="8" t="s">
        <v>26</v>
      </c>
      <c r="K161" s="8" t="s">
        <v>21</v>
      </c>
      <c r="L161" s="8" t="s">
        <v>27</v>
      </c>
      <c r="M161" s="16">
        <v>44396</v>
      </c>
      <c r="N161" s="18">
        <v>499.98</v>
      </c>
      <c r="V161" s="27">
        <f t="shared" si="5"/>
        <v>26</v>
      </c>
      <c r="AB161" s="27" t="str">
        <f t="shared" si="6"/>
        <v>NC</v>
      </c>
    </row>
    <row r="162" spans="1:28" ht="18" customHeight="1" x14ac:dyDescent="0.3">
      <c r="A162" s="15" t="s">
        <v>303</v>
      </c>
      <c r="B162" s="16">
        <v>45635</v>
      </c>
      <c r="C162" s="8" t="s">
        <v>304</v>
      </c>
      <c r="D162" s="8" t="s">
        <v>305</v>
      </c>
      <c r="E162" s="8" t="s">
        <v>31</v>
      </c>
      <c r="F162" s="8" t="s">
        <v>32</v>
      </c>
      <c r="G162" s="8" t="s">
        <v>33</v>
      </c>
      <c r="H162" s="17">
        <v>3</v>
      </c>
      <c r="I162" s="17">
        <v>59.99</v>
      </c>
      <c r="J162" s="8" t="s">
        <v>20</v>
      </c>
      <c r="K162" s="8" t="s">
        <v>21</v>
      </c>
      <c r="L162" s="8" t="s">
        <v>27</v>
      </c>
      <c r="M162" s="16">
        <v>45052</v>
      </c>
      <c r="N162" s="18">
        <v>179.97</v>
      </c>
      <c r="V162" s="27">
        <f t="shared" si="5"/>
        <v>29</v>
      </c>
      <c r="AB162" s="27" t="str">
        <f t="shared" si="6"/>
        <v>JJ</v>
      </c>
    </row>
    <row r="163" spans="1:28" ht="18" customHeight="1" x14ac:dyDescent="0.3">
      <c r="A163" s="15" t="s">
        <v>306</v>
      </c>
      <c r="B163" s="16">
        <v>45635</v>
      </c>
      <c r="C163" s="8" t="s">
        <v>141</v>
      </c>
      <c r="D163" s="8" t="s">
        <v>142</v>
      </c>
      <c r="E163" s="8" t="s">
        <v>114</v>
      </c>
      <c r="F163" s="8" t="s">
        <v>115</v>
      </c>
      <c r="G163" s="8" t="s">
        <v>33</v>
      </c>
      <c r="H163" s="17">
        <v>4</v>
      </c>
      <c r="I163" s="17">
        <v>79.989999999999995</v>
      </c>
      <c r="J163" s="8" t="s">
        <v>57</v>
      </c>
      <c r="K163" s="8" t="s">
        <v>63</v>
      </c>
      <c r="L163" s="8" t="s">
        <v>36</v>
      </c>
      <c r="M163" s="16">
        <v>44921</v>
      </c>
      <c r="N163" s="18">
        <v>319.95999999999998</v>
      </c>
      <c r="V163" s="27">
        <f t="shared" si="5"/>
        <v>14</v>
      </c>
      <c r="AB163" s="27" t="str">
        <f t="shared" si="6"/>
        <v>JT</v>
      </c>
    </row>
    <row r="164" spans="1:28" ht="18" customHeight="1" x14ac:dyDescent="0.3">
      <c r="A164" s="15" t="s">
        <v>307</v>
      </c>
      <c r="B164" s="16">
        <v>45636</v>
      </c>
      <c r="C164" s="8" t="s">
        <v>120</v>
      </c>
      <c r="D164" s="8" t="s">
        <v>121</v>
      </c>
      <c r="E164" s="8" t="s">
        <v>114</v>
      </c>
      <c r="F164" s="8" t="s">
        <v>115</v>
      </c>
      <c r="G164" s="8" t="s">
        <v>33</v>
      </c>
      <c r="H164" s="17">
        <v>3</v>
      </c>
      <c r="I164" s="17">
        <v>79.989999999999995</v>
      </c>
      <c r="J164" s="8" t="s">
        <v>57</v>
      </c>
      <c r="K164" s="8" t="s">
        <v>63</v>
      </c>
      <c r="L164" s="8" t="s">
        <v>36</v>
      </c>
      <c r="M164" s="16">
        <v>44779</v>
      </c>
      <c r="N164" s="18">
        <v>239.97</v>
      </c>
      <c r="V164" s="27">
        <f t="shared" si="5"/>
        <v>14</v>
      </c>
      <c r="AB164" s="27" t="str">
        <f t="shared" si="6"/>
        <v>HR</v>
      </c>
    </row>
    <row r="165" spans="1:28" ht="18" customHeight="1" x14ac:dyDescent="0.3">
      <c r="A165" s="15" t="s">
        <v>308</v>
      </c>
      <c r="B165" s="16">
        <v>45638</v>
      </c>
      <c r="C165" s="8" t="s">
        <v>72</v>
      </c>
      <c r="D165" s="8" t="s">
        <v>73</v>
      </c>
      <c r="E165" s="8" t="s">
        <v>61</v>
      </c>
      <c r="F165" s="8" t="s">
        <v>62</v>
      </c>
      <c r="G165" s="8" t="s">
        <v>19</v>
      </c>
      <c r="H165" s="17">
        <v>2</v>
      </c>
      <c r="I165" s="17">
        <v>899.99</v>
      </c>
      <c r="J165" s="8" t="s">
        <v>20</v>
      </c>
      <c r="K165" s="8" t="s">
        <v>40</v>
      </c>
      <c r="L165" s="8" t="s">
        <v>22</v>
      </c>
      <c r="M165" s="16">
        <v>44406</v>
      </c>
      <c r="N165" s="18">
        <v>1799.98</v>
      </c>
      <c r="V165" s="27">
        <f t="shared" si="5"/>
        <v>24</v>
      </c>
      <c r="AB165" s="27" t="str">
        <f t="shared" si="6"/>
        <v>PR</v>
      </c>
    </row>
    <row r="166" spans="1:28" ht="18" customHeight="1" x14ac:dyDescent="0.3">
      <c r="A166" s="15" t="s">
        <v>309</v>
      </c>
      <c r="B166" s="16">
        <v>45641</v>
      </c>
      <c r="C166" s="8" t="s">
        <v>182</v>
      </c>
      <c r="D166" s="8" t="s">
        <v>183</v>
      </c>
      <c r="E166" s="8" t="s">
        <v>44</v>
      </c>
      <c r="F166" s="8" t="s">
        <v>45</v>
      </c>
      <c r="G166" s="8" t="s">
        <v>46</v>
      </c>
      <c r="H166" s="17">
        <v>1</v>
      </c>
      <c r="I166" s="17">
        <v>149.99</v>
      </c>
      <c r="J166" s="8" t="s">
        <v>57</v>
      </c>
      <c r="K166" s="8" t="s">
        <v>63</v>
      </c>
      <c r="L166" s="8" t="s">
        <v>36</v>
      </c>
      <c r="M166" s="16">
        <v>45200</v>
      </c>
      <c r="N166" s="18">
        <v>149.99</v>
      </c>
      <c r="V166" s="27">
        <f t="shared" si="5"/>
        <v>35</v>
      </c>
      <c r="AB166" s="27" t="str">
        <f t="shared" si="6"/>
        <v>DM</v>
      </c>
    </row>
    <row r="167" spans="1:28" ht="18" customHeight="1" x14ac:dyDescent="0.3">
      <c r="A167" s="15" t="s">
        <v>310</v>
      </c>
      <c r="B167" s="16">
        <v>45641</v>
      </c>
      <c r="C167" s="8" t="s">
        <v>138</v>
      </c>
      <c r="D167" s="8" t="s">
        <v>139</v>
      </c>
      <c r="E167" s="8" t="s">
        <v>105</v>
      </c>
      <c r="F167" s="8" t="s">
        <v>106</v>
      </c>
      <c r="G167" s="8" t="s">
        <v>46</v>
      </c>
      <c r="H167" s="17">
        <v>2</v>
      </c>
      <c r="I167" s="17">
        <v>299.99</v>
      </c>
      <c r="J167" s="8" t="s">
        <v>20</v>
      </c>
      <c r="K167" s="8" t="s">
        <v>63</v>
      </c>
      <c r="L167" s="8" t="s">
        <v>27</v>
      </c>
      <c r="M167" s="16">
        <v>44724</v>
      </c>
      <c r="N167" s="18">
        <v>599.98</v>
      </c>
      <c r="V167" s="27">
        <f t="shared" si="5"/>
        <v>26</v>
      </c>
      <c r="AB167" s="27" t="str">
        <f t="shared" si="6"/>
        <v>ST</v>
      </c>
    </row>
    <row r="168" spans="1:28" ht="18" customHeight="1" x14ac:dyDescent="0.3">
      <c r="A168" s="15" t="s">
        <v>311</v>
      </c>
      <c r="B168" s="16">
        <v>45644</v>
      </c>
      <c r="C168" s="8" t="s">
        <v>132</v>
      </c>
      <c r="D168" s="8" t="s">
        <v>133</v>
      </c>
      <c r="E168" s="8" t="s">
        <v>31</v>
      </c>
      <c r="F168" s="8" t="s">
        <v>32</v>
      </c>
      <c r="G168" s="8" t="s">
        <v>33</v>
      </c>
      <c r="H168" s="17">
        <v>2</v>
      </c>
      <c r="I168" s="17">
        <v>59.99</v>
      </c>
      <c r="J168" s="8" t="s">
        <v>20</v>
      </c>
      <c r="K168" s="8" t="s">
        <v>50</v>
      </c>
      <c r="L168" s="8" t="s">
        <v>22</v>
      </c>
      <c r="M168" s="16">
        <v>45191</v>
      </c>
      <c r="N168" s="18">
        <v>119.98</v>
      </c>
      <c r="V168" s="27">
        <f t="shared" si="5"/>
        <v>29</v>
      </c>
      <c r="AB168" s="27" t="str">
        <f t="shared" si="6"/>
        <v>EW</v>
      </c>
    </row>
    <row r="169" spans="1:28" ht="18" customHeight="1" x14ac:dyDescent="0.3">
      <c r="A169" s="15" t="s">
        <v>312</v>
      </c>
      <c r="B169" s="16">
        <v>45645</v>
      </c>
      <c r="C169" s="8" t="s">
        <v>182</v>
      </c>
      <c r="D169" s="8" t="s">
        <v>183</v>
      </c>
      <c r="E169" s="8" t="s">
        <v>117</v>
      </c>
      <c r="F169" s="8" t="s">
        <v>118</v>
      </c>
      <c r="G169" s="8" t="s">
        <v>19</v>
      </c>
      <c r="H169" s="17">
        <v>1</v>
      </c>
      <c r="I169" s="17">
        <v>89.99</v>
      </c>
      <c r="J169" s="8" t="s">
        <v>57</v>
      </c>
      <c r="K169" s="8" t="s">
        <v>21</v>
      </c>
      <c r="L169" s="8" t="s">
        <v>36</v>
      </c>
      <c r="M169" s="16">
        <v>44760</v>
      </c>
      <c r="N169" s="18">
        <v>89.99</v>
      </c>
      <c r="V169" s="27">
        <f t="shared" si="5"/>
        <v>34</v>
      </c>
      <c r="AB169" s="27" t="str">
        <f t="shared" si="6"/>
        <v>DM</v>
      </c>
    </row>
    <row r="170" spans="1:28" ht="18" customHeight="1" x14ac:dyDescent="0.3">
      <c r="A170" s="15" t="s">
        <v>313</v>
      </c>
      <c r="B170" s="16">
        <v>45645</v>
      </c>
      <c r="C170" s="8" t="s">
        <v>147</v>
      </c>
      <c r="D170" s="8" t="s">
        <v>148</v>
      </c>
      <c r="E170" s="8" t="s">
        <v>61</v>
      </c>
      <c r="F170" s="8" t="s">
        <v>62</v>
      </c>
      <c r="G170" s="8" t="s">
        <v>19</v>
      </c>
      <c r="H170" s="17">
        <v>5</v>
      </c>
      <c r="I170" s="17">
        <v>899.99</v>
      </c>
      <c r="J170" s="8" t="s">
        <v>57</v>
      </c>
      <c r="K170" s="8" t="s">
        <v>63</v>
      </c>
      <c r="L170" s="8" t="s">
        <v>36</v>
      </c>
      <c r="M170" s="16">
        <v>44625</v>
      </c>
      <c r="N170" s="18">
        <v>4499.95</v>
      </c>
      <c r="V170" s="27">
        <f t="shared" si="5"/>
        <v>24</v>
      </c>
      <c r="AB170" s="27" t="str">
        <f t="shared" si="6"/>
        <v>DK</v>
      </c>
    </row>
    <row r="171" spans="1:28" ht="18" customHeight="1" x14ac:dyDescent="0.3">
      <c r="A171" s="15" t="s">
        <v>314</v>
      </c>
      <c r="B171" s="16">
        <v>45646</v>
      </c>
      <c r="C171" s="8" t="s">
        <v>42</v>
      </c>
      <c r="D171" s="8" t="s">
        <v>43</v>
      </c>
      <c r="E171" s="8" t="s">
        <v>44</v>
      </c>
      <c r="F171" s="8" t="s">
        <v>45</v>
      </c>
      <c r="G171" s="8" t="s">
        <v>46</v>
      </c>
      <c r="H171" s="17">
        <v>2</v>
      </c>
      <c r="I171" s="17">
        <v>149.99</v>
      </c>
      <c r="J171" s="8" t="s">
        <v>20</v>
      </c>
      <c r="K171" s="8" t="s">
        <v>35</v>
      </c>
      <c r="L171" s="8" t="s">
        <v>22</v>
      </c>
      <c r="M171" s="16">
        <v>45239</v>
      </c>
      <c r="N171" s="18">
        <v>299.98</v>
      </c>
      <c r="V171" s="27">
        <f t="shared" si="5"/>
        <v>35</v>
      </c>
      <c r="AB171" s="27" t="str">
        <f t="shared" si="6"/>
        <v>MB</v>
      </c>
    </row>
    <row r="172" spans="1:28" ht="18" customHeight="1" x14ac:dyDescent="0.3">
      <c r="A172" s="15" t="s">
        <v>315</v>
      </c>
      <c r="B172" s="16">
        <v>45648</v>
      </c>
      <c r="C172" s="8" t="s">
        <v>112</v>
      </c>
      <c r="D172" s="8" t="s">
        <v>113</v>
      </c>
      <c r="E172" s="8" t="s">
        <v>52</v>
      </c>
      <c r="F172" s="8" t="s">
        <v>53</v>
      </c>
      <c r="G172" s="8" t="s">
        <v>19</v>
      </c>
      <c r="H172" s="17">
        <v>2</v>
      </c>
      <c r="I172" s="17">
        <v>149.99</v>
      </c>
      <c r="J172" s="8" t="s">
        <v>57</v>
      </c>
      <c r="K172" s="8" t="s">
        <v>50</v>
      </c>
      <c r="L172" s="8" t="s">
        <v>27</v>
      </c>
      <c r="M172" s="16">
        <v>45280</v>
      </c>
      <c r="N172" s="18">
        <v>299.98</v>
      </c>
      <c r="V172" s="27">
        <f t="shared" si="5"/>
        <v>16</v>
      </c>
      <c r="AB172" s="27" t="str">
        <f t="shared" si="6"/>
        <v>LM</v>
      </c>
    </row>
    <row r="173" spans="1:28" ht="18" customHeight="1" x14ac:dyDescent="0.3">
      <c r="A173" s="15" t="s">
        <v>316</v>
      </c>
      <c r="B173" s="16">
        <v>45648</v>
      </c>
      <c r="C173" s="8" t="s">
        <v>182</v>
      </c>
      <c r="D173" s="8" t="s">
        <v>183</v>
      </c>
      <c r="E173" s="8" t="s">
        <v>44</v>
      </c>
      <c r="F173" s="8" t="s">
        <v>45</v>
      </c>
      <c r="G173" s="8" t="s">
        <v>46</v>
      </c>
      <c r="H173" s="17">
        <v>3</v>
      </c>
      <c r="I173" s="17">
        <v>149.99</v>
      </c>
      <c r="J173" s="8" t="s">
        <v>57</v>
      </c>
      <c r="K173" s="8" t="s">
        <v>40</v>
      </c>
      <c r="L173" s="8" t="s">
        <v>36</v>
      </c>
      <c r="M173" s="16">
        <v>44522</v>
      </c>
      <c r="N173" s="18">
        <v>449.97</v>
      </c>
      <c r="V173" s="27">
        <f t="shared" si="5"/>
        <v>35</v>
      </c>
      <c r="AB173" s="27" t="str">
        <f t="shared" si="6"/>
        <v>DM</v>
      </c>
    </row>
    <row r="174" spans="1:28" ht="18" customHeight="1" x14ac:dyDescent="0.3">
      <c r="A174" s="15" t="s">
        <v>317</v>
      </c>
      <c r="B174" s="16">
        <v>45649</v>
      </c>
      <c r="C174" s="8" t="s">
        <v>29</v>
      </c>
      <c r="D174" s="8" t="s">
        <v>30</v>
      </c>
      <c r="E174" s="8" t="s">
        <v>105</v>
      </c>
      <c r="F174" s="8" t="s">
        <v>106</v>
      </c>
      <c r="G174" s="8" t="s">
        <v>46</v>
      </c>
      <c r="H174" s="17">
        <v>2</v>
      </c>
      <c r="I174" s="17">
        <v>299.99</v>
      </c>
      <c r="J174" s="8" t="s">
        <v>34</v>
      </c>
      <c r="K174" s="8" t="s">
        <v>35</v>
      </c>
      <c r="L174" s="8" t="s">
        <v>22</v>
      </c>
      <c r="M174" s="16">
        <v>44721</v>
      </c>
      <c r="N174" s="18">
        <v>599.98</v>
      </c>
      <c r="V174" s="27">
        <f t="shared" si="5"/>
        <v>26</v>
      </c>
      <c r="AB174" s="27" t="str">
        <f t="shared" si="6"/>
        <v>KS</v>
      </c>
    </row>
    <row r="175" spans="1:28" ht="18" customHeight="1" x14ac:dyDescent="0.3">
      <c r="A175" s="15" t="s">
        <v>318</v>
      </c>
      <c r="B175" s="16">
        <v>45654</v>
      </c>
      <c r="C175" s="8" t="s">
        <v>42</v>
      </c>
      <c r="D175" s="8" t="s">
        <v>43</v>
      </c>
      <c r="E175" s="8" t="s">
        <v>105</v>
      </c>
      <c r="F175" s="8" t="s">
        <v>106</v>
      </c>
      <c r="G175" s="8" t="s">
        <v>46</v>
      </c>
      <c r="H175" s="17">
        <v>2</v>
      </c>
      <c r="I175" s="17">
        <v>299.99</v>
      </c>
      <c r="J175" s="8" t="s">
        <v>20</v>
      </c>
      <c r="K175" s="8" t="s">
        <v>50</v>
      </c>
      <c r="L175" s="8" t="s">
        <v>22</v>
      </c>
      <c r="M175" s="16">
        <v>44771</v>
      </c>
      <c r="N175" s="18">
        <v>599.98</v>
      </c>
      <c r="V175" s="27">
        <f t="shared" si="5"/>
        <v>26</v>
      </c>
      <c r="AB175" s="27" t="str">
        <f t="shared" si="6"/>
        <v>MB</v>
      </c>
    </row>
    <row r="176" spans="1:28" ht="18" customHeight="1" x14ac:dyDescent="0.3">
      <c r="A176" s="15" t="s">
        <v>319</v>
      </c>
      <c r="B176" s="16">
        <v>45654</v>
      </c>
      <c r="C176" s="8" t="s">
        <v>120</v>
      </c>
      <c r="D176" s="8" t="s">
        <v>121</v>
      </c>
      <c r="E176" s="8" t="s">
        <v>126</v>
      </c>
      <c r="F176" s="8" t="s">
        <v>127</v>
      </c>
      <c r="G176" s="8" t="s">
        <v>46</v>
      </c>
      <c r="H176" s="17">
        <v>4</v>
      </c>
      <c r="I176" s="17">
        <v>199.99</v>
      </c>
      <c r="J176" s="8" t="s">
        <v>26</v>
      </c>
      <c r="K176" s="8" t="s">
        <v>21</v>
      </c>
      <c r="L176" s="8" t="s">
        <v>22</v>
      </c>
      <c r="M176" s="16">
        <v>44523</v>
      </c>
      <c r="N176" s="18">
        <v>799.96</v>
      </c>
      <c r="V176" s="27">
        <f t="shared" si="5"/>
        <v>15</v>
      </c>
      <c r="AB176" s="27" t="str">
        <f t="shared" si="6"/>
        <v>HR</v>
      </c>
    </row>
    <row r="177" spans="1:28" ht="18" customHeight="1" x14ac:dyDescent="0.3">
      <c r="A177" s="15" t="s">
        <v>320</v>
      </c>
      <c r="B177" s="16">
        <v>45655</v>
      </c>
      <c r="C177" s="8" t="s">
        <v>59</v>
      </c>
      <c r="D177" s="8" t="s">
        <v>60</v>
      </c>
      <c r="E177" s="8" t="s">
        <v>117</v>
      </c>
      <c r="F177" s="8" t="s">
        <v>118</v>
      </c>
      <c r="G177" s="8" t="s">
        <v>19</v>
      </c>
      <c r="H177" s="17">
        <v>1</v>
      </c>
      <c r="I177" s="17">
        <v>89.99</v>
      </c>
      <c r="J177" s="8" t="s">
        <v>26</v>
      </c>
      <c r="K177" s="8" t="s">
        <v>35</v>
      </c>
      <c r="L177" s="8" t="s">
        <v>27</v>
      </c>
      <c r="M177" s="16">
        <v>44591</v>
      </c>
      <c r="N177" s="18">
        <v>89.99</v>
      </c>
      <c r="V177" s="27">
        <f t="shared" si="5"/>
        <v>34</v>
      </c>
      <c r="AB177" s="27" t="str">
        <f t="shared" si="6"/>
        <v>RT</v>
      </c>
    </row>
    <row r="178" spans="1:28" ht="18" customHeight="1" x14ac:dyDescent="0.3">
      <c r="A178" s="15" t="s">
        <v>321</v>
      </c>
      <c r="B178" s="16">
        <v>45655</v>
      </c>
      <c r="C178" s="8" t="s">
        <v>108</v>
      </c>
      <c r="D178" s="8" t="s">
        <v>109</v>
      </c>
      <c r="E178" s="8" t="s">
        <v>44</v>
      </c>
      <c r="F178" s="8" t="s">
        <v>45</v>
      </c>
      <c r="G178" s="8" t="s">
        <v>46</v>
      </c>
      <c r="H178" s="17">
        <v>5</v>
      </c>
      <c r="I178" s="17">
        <v>149.99</v>
      </c>
      <c r="J178" s="8" t="s">
        <v>20</v>
      </c>
      <c r="K178" s="8" t="s">
        <v>21</v>
      </c>
      <c r="L178" s="8" t="s">
        <v>27</v>
      </c>
      <c r="M178" s="16">
        <v>45347</v>
      </c>
      <c r="N178" s="18">
        <v>749.95</v>
      </c>
      <c r="V178" s="27">
        <f t="shared" si="5"/>
        <v>35</v>
      </c>
      <c r="AB178" s="27" t="str">
        <f t="shared" si="6"/>
        <v>NC</v>
      </c>
    </row>
    <row r="179" spans="1:28" ht="18" customHeight="1" x14ac:dyDescent="0.3">
      <c r="A179" s="15" t="s">
        <v>322</v>
      </c>
      <c r="B179" s="16">
        <v>45657</v>
      </c>
      <c r="C179" s="8" t="s">
        <v>86</v>
      </c>
      <c r="D179" s="8" t="s">
        <v>87</v>
      </c>
      <c r="E179" s="8" t="s">
        <v>61</v>
      </c>
      <c r="F179" s="8" t="s">
        <v>62</v>
      </c>
      <c r="G179" s="8" t="s">
        <v>19</v>
      </c>
      <c r="H179" s="17">
        <v>1</v>
      </c>
      <c r="I179" s="17">
        <v>899.99</v>
      </c>
      <c r="J179" s="8" t="s">
        <v>34</v>
      </c>
      <c r="K179" s="8" t="s">
        <v>40</v>
      </c>
      <c r="L179" s="8" t="s">
        <v>27</v>
      </c>
      <c r="M179" s="16">
        <v>45050</v>
      </c>
      <c r="N179" s="18">
        <v>899.99</v>
      </c>
      <c r="V179" s="27">
        <f t="shared" si="5"/>
        <v>24</v>
      </c>
      <c r="AB179" s="27" t="str">
        <f t="shared" si="6"/>
        <v>MC</v>
      </c>
    </row>
    <row r="180" spans="1:28" ht="18" customHeight="1" x14ac:dyDescent="0.3">
      <c r="A180" s="15" t="s">
        <v>323</v>
      </c>
      <c r="B180" s="16">
        <v>45660</v>
      </c>
      <c r="C180" s="8" t="s">
        <v>147</v>
      </c>
      <c r="D180" s="8" t="s">
        <v>148</v>
      </c>
      <c r="E180" s="8" t="s">
        <v>117</v>
      </c>
      <c r="F180" s="8" t="s">
        <v>118</v>
      </c>
      <c r="G180" s="8" t="s">
        <v>19</v>
      </c>
      <c r="H180" s="17">
        <v>2</v>
      </c>
      <c r="I180" s="17">
        <v>89.99</v>
      </c>
      <c r="J180" s="8" t="s">
        <v>26</v>
      </c>
      <c r="K180" s="8" t="s">
        <v>35</v>
      </c>
      <c r="L180" s="8" t="s">
        <v>27</v>
      </c>
      <c r="M180" s="16">
        <v>44564</v>
      </c>
      <c r="N180" s="18">
        <v>179.98</v>
      </c>
      <c r="V180" s="27">
        <f t="shared" si="5"/>
        <v>34</v>
      </c>
      <c r="AB180" s="27" t="str">
        <f t="shared" si="6"/>
        <v>DK</v>
      </c>
    </row>
    <row r="181" spans="1:28" ht="18" customHeight="1" x14ac:dyDescent="0.3">
      <c r="A181" s="15" t="s">
        <v>324</v>
      </c>
      <c r="B181" s="16">
        <v>45661</v>
      </c>
      <c r="C181" s="8" t="s">
        <v>325</v>
      </c>
      <c r="D181" s="8" t="s">
        <v>326</v>
      </c>
      <c r="E181" s="8" t="s">
        <v>61</v>
      </c>
      <c r="F181" s="8" t="s">
        <v>62</v>
      </c>
      <c r="G181" s="8" t="s">
        <v>19</v>
      </c>
      <c r="H181" s="17">
        <v>1</v>
      </c>
      <c r="I181" s="17">
        <v>899.99</v>
      </c>
      <c r="J181" s="8" t="s">
        <v>34</v>
      </c>
      <c r="K181" s="8" t="s">
        <v>40</v>
      </c>
      <c r="L181" s="8" t="s">
        <v>36</v>
      </c>
      <c r="M181" s="16">
        <v>44752</v>
      </c>
      <c r="N181" s="18">
        <v>899.99</v>
      </c>
      <c r="V181" s="27">
        <f t="shared" si="5"/>
        <v>24</v>
      </c>
      <c r="AB181" s="27" t="str">
        <f t="shared" si="6"/>
        <v>AE</v>
      </c>
    </row>
    <row r="182" spans="1:28" ht="18" customHeight="1" x14ac:dyDescent="0.3">
      <c r="A182" s="15" t="s">
        <v>327</v>
      </c>
      <c r="B182" s="16">
        <v>45663</v>
      </c>
      <c r="C182" s="8" t="s">
        <v>129</v>
      </c>
      <c r="D182" s="8" t="s">
        <v>130</v>
      </c>
      <c r="E182" s="8" t="s">
        <v>52</v>
      </c>
      <c r="F182" s="8" t="s">
        <v>53</v>
      </c>
      <c r="G182" s="8" t="s">
        <v>19</v>
      </c>
      <c r="H182" s="17">
        <v>5</v>
      </c>
      <c r="I182" s="17">
        <v>149.99</v>
      </c>
      <c r="J182" s="8" t="s">
        <v>34</v>
      </c>
      <c r="K182" s="8" t="s">
        <v>63</v>
      </c>
      <c r="L182" s="8" t="s">
        <v>27</v>
      </c>
      <c r="M182" s="16">
        <v>44824</v>
      </c>
      <c r="N182" s="18">
        <v>749.95</v>
      </c>
      <c r="V182" s="27">
        <f t="shared" si="5"/>
        <v>16</v>
      </c>
      <c r="AB182" s="27" t="str">
        <f t="shared" si="6"/>
        <v>LA</v>
      </c>
    </row>
    <row r="183" spans="1:28" ht="18" customHeight="1" x14ac:dyDescent="0.3">
      <c r="A183" s="15" t="s">
        <v>328</v>
      </c>
      <c r="B183" s="16">
        <v>45663</v>
      </c>
      <c r="C183" s="8" t="s">
        <v>42</v>
      </c>
      <c r="D183" s="8" t="s">
        <v>43</v>
      </c>
      <c r="E183" s="8" t="s">
        <v>105</v>
      </c>
      <c r="F183" s="8" t="s">
        <v>106</v>
      </c>
      <c r="G183" s="8" t="s">
        <v>46</v>
      </c>
      <c r="H183" s="17">
        <v>3</v>
      </c>
      <c r="I183" s="17">
        <v>299.99</v>
      </c>
      <c r="J183" s="8" t="s">
        <v>20</v>
      </c>
      <c r="K183" s="8" t="s">
        <v>35</v>
      </c>
      <c r="L183" s="8" t="s">
        <v>36</v>
      </c>
      <c r="M183" s="16">
        <v>44422</v>
      </c>
      <c r="N183" s="18">
        <v>899.97</v>
      </c>
      <c r="V183" s="27">
        <f t="shared" si="5"/>
        <v>26</v>
      </c>
      <c r="AB183" s="27" t="str">
        <f t="shared" si="6"/>
        <v>MB</v>
      </c>
    </row>
    <row r="184" spans="1:28" ht="18" customHeight="1" x14ac:dyDescent="0.3">
      <c r="A184" s="15" t="s">
        <v>329</v>
      </c>
      <c r="B184" s="16">
        <v>45666</v>
      </c>
      <c r="C184" s="8" t="s">
        <v>65</v>
      </c>
      <c r="D184" s="8" t="s">
        <v>66</v>
      </c>
      <c r="E184" s="8" t="s">
        <v>80</v>
      </c>
      <c r="F184" s="8" t="s">
        <v>81</v>
      </c>
      <c r="G184" s="8" t="s">
        <v>19</v>
      </c>
      <c r="H184" s="17">
        <v>3</v>
      </c>
      <c r="I184" s="17">
        <v>699.99</v>
      </c>
      <c r="J184" s="8" t="s">
        <v>26</v>
      </c>
      <c r="K184" s="8" t="s">
        <v>21</v>
      </c>
      <c r="L184" s="8" t="s">
        <v>27</v>
      </c>
      <c r="M184" s="16">
        <v>45105</v>
      </c>
      <c r="N184" s="18">
        <v>2099.9699999999998</v>
      </c>
      <c r="V184" s="27">
        <f t="shared" si="5"/>
        <v>30</v>
      </c>
      <c r="AB184" s="27" t="str">
        <f t="shared" si="6"/>
        <v>KH</v>
      </c>
    </row>
    <row r="185" spans="1:28" ht="18" customHeight="1" x14ac:dyDescent="0.3">
      <c r="A185" s="15" t="s">
        <v>330</v>
      </c>
      <c r="B185" s="16">
        <v>45667</v>
      </c>
      <c r="C185" s="8" t="s">
        <v>108</v>
      </c>
      <c r="D185" s="8" t="s">
        <v>109</v>
      </c>
      <c r="E185" s="8" t="s">
        <v>126</v>
      </c>
      <c r="F185" s="8" t="s">
        <v>127</v>
      </c>
      <c r="G185" s="8" t="s">
        <v>46</v>
      </c>
      <c r="H185" s="17">
        <v>5</v>
      </c>
      <c r="I185" s="17">
        <v>199.99</v>
      </c>
      <c r="J185" s="8" t="s">
        <v>34</v>
      </c>
      <c r="K185" s="8" t="s">
        <v>21</v>
      </c>
      <c r="L185" s="8" t="s">
        <v>36</v>
      </c>
      <c r="M185" s="16">
        <v>44633</v>
      </c>
      <c r="N185" s="18">
        <v>999.95</v>
      </c>
      <c r="V185" s="27">
        <f t="shared" si="5"/>
        <v>15</v>
      </c>
      <c r="AB185" s="27" t="str">
        <f t="shared" si="6"/>
        <v>NC</v>
      </c>
    </row>
    <row r="186" spans="1:28" ht="18" customHeight="1" x14ac:dyDescent="0.3">
      <c r="A186" s="15" t="s">
        <v>331</v>
      </c>
      <c r="B186" s="16">
        <v>45667</v>
      </c>
      <c r="C186" s="8" t="s">
        <v>93</v>
      </c>
      <c r="D186" s="8" t="s">
        <v>94</v>
      </c>
      <c r="E186" s="8" t="s">
        <v>17</v>
      </c>
      <c r="F186" s="8" t="s">
        <v>18</v>
      </c>
      <c r="G186" s="8" t="s">
        <v>19</v>
      </c>
      <c r="H186" s="17">
        <v>5</v>
      </c>
      <c r="I186" s="17">
        <v>249.99</v>
      </c>
      <c r="J186" s="8" t="s">
        <v>26</v>
      </c>
      <c r="K186" s="8" t="s">
        <v>35</v>
      </c>
      <c r="L186" s="8" t="s">
        <v>22</v>
      </c>
      <c r="M186" s="16">
        <v>45330</v>
      </c>
      <c r="N186" s="18">
        <v>1249.95</v>
      </c>
      <c r="V186" s="27">
        <f t="shared" si="5"/>
        <v>26</v>
      </c>
      <c r="AB186" s="27" t="str">
        <f t="shared" si="6"/>
        <v>VS</v>
      </c>
    </row>
    <row r="187" spans="1:28" ht="18" customHeight="1" x14ac:dyDescent="0.3">
      <c r="A187" s="15" t="s">
        <v>332</v>
      </c>
      <c r="B187" s="16">
        <v>45668</v>
      </c>
      <c r="C187" s="8" t="s">
        <v>138</v>
      </c>
      <c r="D187" s="8" t="s">
        <v>139</v>
      </c>
      <c r="E187" s="8" t="s">
        <v>52</v>
      </c>
      <c r="F187" s="8" t="s">
        <v>53</v>
      </c>
      <c r="G187" s="8" t="s">
        <v>19</v>
      </c>
      <c r="H187" s="17">
        <v>4</v>
      </c>
      <c r="I187" s="17">
        <v>149.99</v>
      </c>
      <c r="J187" s="8" t="s">
        <v>57</v>
      </c>
      <c r="K187" s="8" t="s">
        <v>63</v>
      </c>
      <c r="L187" s="8" t="s">
        <v>36</v>
      </c>
      <c r="M187" s="16">
        <v>44536</v>
      </c>
      <c r="N187" s="18">
        <v>599.96</v>
      </c>
      <c r="V187" s="27">
        <f t="shared" si="5"/>
        <v>16</v>
      </c>
      <c r="AB187" s="27" t="str">
        <f t="shared" si="6"/>
        <v>ST</v>
      </c>
    </row>
    <row r="188" spans="1:28" ht="18" customHeight="1" x14ac:dyDescent="0.3">
      <c r="A188" s="15" t="s">
        <v>333</v>
      </c>
      <c r="B188" s="16">
        <v>45668</v>
      </c>
      <c r="C188" s="8" t="s">
        <v>78</v>
      </c>
      <c r="D188" s="8" t="s">
        <v>79</v>
      </c>
      <c r="E188" s="8" t="s">
        <v>80</v>
      </c>
      <c r="F188" s="8" t="s">
        <v>81</v>
      </c>
      <c r="G188" s="8" t="s">
        <v>19</v>
      </c>
      <c r="H188" s="17">
        <v>3</v>
      </c>
      <c r="I188" s="17">
        <v>699.99</v>
      </c>
      <c r="J188" s="8" t="s">
        <v>20</v>
      </c>
      <c r="K188" s="8" t="s">
        <v>40</v>
      </c>
      <c r="L188" s="8" t="s">
        <v>27</v>
      </c>
      <c r="M188" s="16">
        <v>44602</v>
      </c>
      <c r="N188" s="18">
        <v>2099.9699999999998</v>
      </c>
      <c r="V188" s="27">
        <f t="shared" si="5"/>
        <v>30</v>
      </c>
      <c r="AB188" s="27" t="str">
        <f t="shared" si="6"/>
        <v>MR</v>
      </c>
    </row>
    <row r="189" spans="1:28" ht="18" customHeight="1" x14ac:dyDescent="0.3">
      <c r="A189" s="15" t="s">
        <v>334</v>
      </c>
      <c r="B189" s="16">
        <v>45670</v>
      </c>
      <c r="C189" s="8" t="s">
        <v>293</v>
      </c>
      <c r="D189" s="8" t="s">
        <v>294</v>
      </c>
      <c r="E189" s="8" t="s">
        <v>114</v>
      </c>
      <c r="F189" s="8" t="s">
        <v>115</v>
      </c>
      <c r="G189" s="8" t="s">
        <v>33</v>
      </c>
      <c r="H189" s="17">
        <v>1</v>
      </c>
      <c r="I189" s="17">
        <v>79.989999999999995</v>
      </c>
      <c r="J189" s="8" t="s">
        <v>26</v>
      </c>
      <c r="K189" s="8" t="s">
        <v>35</v>
      </c>
      <c r="L189" s="8" t="s">
        <v>22</v>
      </c>
      <c r="M189" s="16">
        <v>45322</v>
      </c>
      <c r="N189" s="18">
        <v>79.989999999999995</v>
      </c>
      <c r="V189" s="27">
        <f t="shared" si="5"/>
        <v>14</v>
      </c>
      <c r="AB189" s="27" t="str">
        <f t="shared" si="6"/>
        <v>DW</v>
      </c>
    </row>
    <row r="190" spans="1:28" ht="18" customHeight="1" x14ac:dyDescent="0.3">
      <c r="A190" s="15" t="s">
        <v>335</v>
      </c>
      <c r="B190" s="16">
        <v>45670</v>
      </c>
      <c r="C190" s="8" t="s">
        <v>86</v>
      </c>
      <c r="D190" s="8" t="s">
        <v>87</v>
      </c>
      <c r="E190" s="8" t="s">
        <v>105</v>
      </c>
      <c r="F190" s="8" t="s">
        <v>106</v>
      </c>
      <c r="G190" s="8" t="s">
        <v>46</v>
      </c>
      <c r="H190" s="17">
        <v>1</v>
      </c>
      <c r="I190" s="17">
        <v>299.99</v>
      </c>
      <c r="J190" s="8" t="s">
        <v>26</v>
      </c>
      <c r="K190" s="8" t="s">
        <v>40</v>
      </c>
      <c r="L190" s="8" t="s">
        <v>22</v>
      </c>
      <c r="M190" s="16">
        <v>44436</v>
      </c>
      <c r="N190" s="18">
        <v>299.99</v>
      </c>
      <c r="V190" s="27">
        <f t="shared" si="5"/>
        <v>26</v>
      </c>
      <c r="AB190" s="27" t="str">
        <f t="shared" si="6"/>
        <v>MC</v>
      </c>
    </row>
    <row r="191" spans="1:28" ht="18" customHeight="1" x14ac:dyDescent="0.3">
      <c r="A191" s="15" t="s">
        <v>336</v>
      </c>
      <c r="B191" s="16">
        <v>45671</v>
      </c>
      <c r="C191" s="8" t="s">
        <v>158</v>
      </c>
      <c r="D191" s="8" t="s">
        <v>159</v>
      </c>
      <c r="E191" s="8" t="s">
        <v>17</v>
      </c>
      <c r="F191" s="8" t="s">
        <v>18</v>
      </c>
      <c r="G191" s="8" t="s">
        <v>19</v>
      </c>
      <c r="H191" s="17">
        <v>4</v>
      </c>
      <c r="I191" s="17">
        <v>249.99</v>
      </c>
      <c r="J191" s="8" t="s">
        <v>26</v>
      </c>
      <c r="K191" s="8" t="s">
        <v>40</v>
      </c>
      <c r="L191" s="8" t="s">
        <v>27</v>
      </c>
      <c r="M191" s="16">
        <v>44460</v>
      </c>
      <c r="N191" s="18">
        <v>999.96</v>
      </c>
      <c r="V191" s="27">
        <f t="shared" si="5"/>
        <v>26</v>
      </c>
      <c r="AB191" s="27" t="str">
        <f t="shared" si="6"/>
        <v>BC</v>
      </c>
    </row>
    <row r="192" spans="1:28" ht="18" customHeight="1" x14ac:dyDescent="0.3">
      <c r="A192" s="15" t="s">
        <v>337</v>
      </c>
      <c r="B192" s="16">
        <v>45671</v>
      </c>
      <c r="C192" s="8" t="s">
        <v>120</v>
      </c>
      <c r="D192" s="8" t="s">
        <v>121</v>
      </c>
      <c r="E192" s="8" t="s">
        <v>52</v>
      </c>
      <c r="F192" s="8" t="s">
        <v>53</v>
      </c>
      <c r="G192" s="8" t="s">
        <v>19</v>
      </c>
      <c r="H192" s="17">
        <v>2</v>
      </c>
      <c r="I192" s="17">
        <v>149.99</v>
      </c>
      <c r="J192" s="8" t="s">
        <v>20</v>
      </c>
      <c r="K192" s="8" t="s">
        <v>40</v>
      </c>
      <c r="L192" s="8" t="s">
        <v>36</v>
      </c>
      <c r="M192" s="16">
        <v>44913</v>
      </c>
      <c r="N192" s="18">
        <v>299.98</v>
      </c>
      <c r="V192" s="27">
        <f t="shared" si="5"/>
        <v>16</v>
      </c>
      <c r="AB192" s="27" t="str">
        <f t="shared" si="6"/>
        <v>HR</v>
      </c>
    </row>
    <row r="193" spans="1:28" ht="18" customHeight="1" x14ac:dyDescent="0.3">
      <c r="A193" s="15" t="s">
        <v>338</v>
      </c>
      <c r="B193" s="16">
        <v>45671</v>
      </c>
      <c r="C193" s="8" t="s">
        <v>234</v>
      </c>
      <c r="D193" s="8" t="s">
        <v>235</v>
      </c>
      <c r="E193" s="8" t="s">
        <v>105</v>
      </c>
      <c r="F193" s="8" t="s">
        <v>106</v>
      </c>
      <c r="G193" s="8" t="s">
        <v>46</v>
      </c>
      <c r="H193" s="17">
        <v>3</v>
      </c>
      <c r="I193" s="17">
        <v>299.99</v>
      </c>
      <c r="J193" s="8" t="s">
        <v>26</v>
      </c>
      <c r="K193" s="8" t="s">
        <v>35</v>
      </c>
      <c r="L193" s="8" t="s">
        <v>22</v>
      </c>
      <c r="M193" s="16">
        <v>45204</v>
      </c>
      <c r="N193" s="18">
        <v>899.97</v>
      </c>
      <c r="V193" s="27">
        <f t="shared" si="5"/>
        <v>26</v>
      </c>
      <c r="AB193" s="27" t="str">
        <f t="shared" si="6"/>
        <v>SP</v>
      </c>
    </row>
    <row r="194" spans="1:28" ht="18" customHeight="1" x14ac:dyDescent="0.3">
      <c r="A194" s="15" t="s">
        <v>339</v>
      </c>
      <c r="B194" s="16">
        <v>45673</v>
      </c>
      <c r="C194" s="8" t="s">
        <v>226</v>
      </c>
      <c r="D194" s="8" t="s">
        <v>227</v>
      </c>
      <c r="E194" s="8" t="s">
        <v>126</v>
      </c>
      <c r="F194" s="8" t="s">
        <v>127</v>
      </c>
      <c r="G194" s="8" t="s">
        <v>46</v>
      </c>
      <c r="H194" s="17">
        <v>4</v>
      </c>
      <c r="I194" s="17">
        <v>199.99</v>
      </c>
      <c r="J194" s="8" t="s">
        <v>57</v>
      </c>
      <c r="K194" s="8" t="s">
        <v>35</v>
      </c>
      <c r="L194" s="8" t="s">
        <v>36</v>
      </c>
      <c r="M194" s="16">
        <v>44544</v>
      </c>
      <c r="N194" s="18">
        <v>799.96</v>
      </c>
      <c r="V194" s="27">
        <f t="shared" si="5"/>
        <v>15</v>
      </c>
      <c r="AB194" s="27" t="str">
        <f t="shared" si="6"/>
        <v>LR</v>
      </c>
    </row>
    <row r="195" spans="1:28" ht="18" customHeight="1" x14ac:dyDescent="0.3">
      <c r="A195" s="15" t="s">
        <v>340</v>
      </c>
      <c r="B195" s="16">
        <v>45673</v>
      </c>
      <c r="C195" s="8" t="s">
        <v>211</v>
      </c>
      <c r="D195" s="8" t="s">
        <v>212</v>
      </c>
      <c r="E195" s="8" t="s">
        <v>105</v>
      </c>
      <c r="F195" s="8" t="s">
        <v>106</v>
      </c>
      <c r="G195" s="8" t="s">
        <v>46</v>
      </c>
      <c r="H195" s="17">
        <v>5</v>
      </c>
      <c r="I195" s="17">
        <v>299.99</v>
      </c>
      <c r="J195" s="8" t="s">
        <v>57</v>
      </c>
      <c r="K195" s="8" t="s">
        <v>21</v>
      </c>
      <c r="L195" s="8" t="s">
        <v>22</v>
      </c>
      <c r="M195" s="16">
        <v>44431</v>
      </c>
      <c r="N195" s="18">
        <v>1499.95</v>
      </c>
      <c r="V195" s="27">
        <f t="shared" ref="V195:V251" si="7">COUNTIF($F:$F,F195)</f>
        <v>26</v>
      </c>
      <c r="AB195" s="27" t="str">
        <f t="shared" ref="AB195:AB251" si="8">UPPER(LEFT(D195,1)&amp;MID(D195,FIND(" ",D195)+1,1))</f>
        <v>EH</v>
      </c>
    </row>
    <row r="196" spans="1:28" ht="18" customHeight="1" x14ac:dyDescent="0.3">
      <c r="A196" s="15" t="s">
        <v>341</v>
      </c>
      <c r="B196" s="16">
        <v>45673</v>
      </c>
      <c r="C196" s="8" t="s">
        <v>59</v>
      </c>
      <c r="D196" s="8" t="s">
        <v>60</v>
      </c>
      <c r="E196" s="8" t="s">
        <v>44</v>
      </c>
      <c r="F196" s="8" t="s">
        <v>45</v>
      </c>
      <c r="G196" s="8" t="s">
        <v>46</v>
      </c>
      <c r="H196" s="17">
        <v>3</v>
      </c>
      <c r="I196" s="17">
        <v>149.99</v>
      </c>
      <c r="J196" s="8" t="s">
        <v>26</v>
      </c>
      <c r="K196" s="8" t="s">
        <v>63</v>
      </c>
      <c r="L196" s="8" t="s">
        <v>36</v>
      </c>
      <c r="M196" s="16">
        <v>44395</v>
      </c>
      <c r="N196" s="18">
        <v>449.97</v>
      </c>
      <c r="V196" s="27">
        <f t="shared" si="7"/>
        <v>35</v>
      </c>
      <c r="AB196" s="27" t="str">
        <f t="shared" si="8"/>
        <v>RT</v>
      </c>
    </row>
    <row r="197" spans="1:28" ht="18" customHeight="1" x14ac:dyDescent="0.3">
      <c r="A197" s="15" t="s">
        <v>342</v>
      </c>
      <c r="B197" s="16">
        <v>45676</v>
      </c>
      <c r="C197" s="8" t="s">
        <v>129</v>
      </c>
      <c r="D197" s="8" t="s">
        <v>130</v>
      </c>
      <c r="E197" s="8" t="s">
        <v>31</v>
      </c>
      <c r="F197" s="8" t="s">
        <v>32</v>
      </c>
      <c r="G197" s="8" t="s">
        <v>33</v>
      </c>
      <c r="H197" s="17">
        <v>5</v>
      </c>
      <c r="I197" s="17">
        <v>59.99</v>
      </c>
      <c r="J197" s="8" t="s">
        <v>57</v>
      </c>
      <c r="K197" s="8" t="s">
        <v>63</v>
      </c>
      <c r="L197" s="8" t="s">
        <v>22</v>
      </c>
      <c r="M197" s="16">
        <v>44642</v>
      </c>
      <c r="N197" s="18">
        <v>299.95</v>
      </c>
      <c r="V197" s="27">
        <f t="shared" si="7"/>
        <v>29</v>
      </c>
      <c r="AB197" s="27" t="str">
        <f t="shared" si="8"/>
        <v>LA</v>
      </c>
    </row>
    <row r="198" spans="1:28" ht="18" customHeight="1" x14ac:dyDescent="0.3">
      <c r="A198" s="15" t="s">
        <v>343</v>
      </c>
      <c r="B198" s="16">
        <v>45682</v>
      </c>
      <c r="C198" s="8" t="s">
        <v>68</v>
      </c>
      <c r="D198" s="8" t="s">
        <v>69</v>
      </c>
      <c r="E198" s="8" t="s">
        <v>31</v>
      </c>
      <c r="F198" s="8" t="s">
        <v>32</v>
      </c>
      <c r="G198" s="8" t="s">
        <v>33</v>
      </c>
      <c r="H198" s="17">
        <v>4</v>
      </c>
      <c r="I198" s="17">
        <v>59.99</v>
      </c>
      <c r="J198" s="8" t="s">
        <v>57</v>
      </c>
      <c r="K198" s="8" t="s">
        <v>63</v>
      </c>
      <c r="L198" s="8" t="s">
        <v>36</v>
      </c>
      <c r="M198" s="16">
        <v>44564</v>
      </c>
      <c r="N198" s="18">
        <v>239.96</v>
      </c>
      <c r="V198" s="27">
        <f t="shared" si="7"/>
        <v>29</v>
      </c>
      <c r="AB198" s="27" t="str">
        <f t="shared" si="8"/>
        <v>SG</v>
      </c>
    </row>
    <row r="199" spans="1:28" ht="18" customHeight="1" x14ac:dyDescent="0.3">
      <c r="A199" s="15" t="s">
        <v>344</v>
      </c>
      <c r="B199" s="16">
        <v>45683</v>
      </c>
      <c r="C199" s="8" t="s">
        <v>48</v>
      </c>
      <c r="D199" s="8" t="s">
        <v>49</v>
      </c>
      <c r="E199" s="8" t="s">
        <v>17</v>
      </c>
      <c r="F199" s="8" t="s">
        <v>18</v>
      </c>
      <c r="G199" s="8" t="s">
        <v>19</v>
      </c>
      <c r="H199" s="17">
        <v>4</v>
      </c>
      <c r="I199" s="17">
        <v>249.99</v>
      </c>
      <c r="J199" s="8" t="s">
        <v>57</v>
      </c>
      <c r="K199" s="8" t="s">
        <v>21</v>
      </c>
      <c r="L199" s="8" t="s">
        <v>27</v>
      </c>
      <c r="M199" s="16">
        <v>45217</v>
      </c>
      <c r="N199" s="18">
        <v>999.96</v>
      </c>
      <c r="V199" s="27">
        <f t="shared" si="7"/>
        <v>26</v>
      </c>
      <c r="AB199" s="27" t="str">
        <f t="shared" si="8"/>
        <v>DN</v>
      </c>
    </row>
    <row r="200" spans="1:28" ht="18" customHeight="1" x14ac:dyDescent="0.3">
      <c r="A200" s="15" t="s">
        <v>345</v>
      </c>
      <c r="B200" s="16">
        <v>45686</v>
      </c>
      <c r="C200" s="8" t="s">
        <v>252</v>
      </c>
      <c r="D200" s="8" t="s">
        <v>253</v>
      </c>
      <c r="E200" s="8" t="s">
        <v>61</v>
      </c>
      <c r="F200" s="8" t="s">
        <v>62</v>
      </c>
      <c r="G200" s="8" t="s">
        <v>19</v>
      </c>
      <c r="H200" s="17">
        <v>4</v>
      </c>
      <c r="I200" s="17">
        <v>899.99</v>
      </c>
      <c r="J200" s="8" t="s">
        <v>34</v>
      </c>
      <c r="K200" s="8" t="s">
        <v>21</v>
      </c>
      <c r="L200" s="8" t="s">
        <v>22</v>
      </c>
      <c r="M200" s="16">
        <v>44734</v>
      </c>
      <c r="N200" s="18">
        <v>3599.96</v>
      </c>
      <c r="V200" s="27">
        <f t="shared" si="7"/>
        <v>24</v>
      </c>
      <c r="AB200" s="27" t="str">
        <f t="shared" si="8"/>
        <v>WW</v>
      </c>
    </row>
    <row r="201" spans="1:28" ht="18" customHeight="1" x14ac:dyDescent="0.3">
      <c r="A201" s="15" t="s">
        <v>346</v>
      </c>
      <c r="B201" s="16">
        <v>45686</v>
      </c>
      <c r="C201" s="8" t="s">
        <v>86</v>
      </c>
      <c r="D201" s="8" t="s">
        <v>87</v>
      </c>
      <c r="E201" s="8" t="s">
        <v>105</v>
      </c>
      <c r="F201" s="8" t="s">
        <v>106</v>
      </c>
      <c r="G201" s="8" t="s">
        <v>46</v>
      </c>
      <c r="H201" s="17">
        <v>3</v>
      </c>
      <c r="I201" s="17">
        <v>299.99</v>
      </c>
      <c r="J201" s="8" t="s">
        <v>57</v>
      </c>
      <c r="K201" s="8" t="s">
        <v>50</v>
      </c>
      <c r="L201" s="8" t="s">
        <v>36</v>
      </c>
      <c r="M201" s="16">
        <v>44952</v>
      </c>
      <c r="N201" s="18">
        <v>899.97</v>
      </c>
      <c r="V201" s="27">
        <f t="shared" si="7"/>
        <v>26</v>
      </c>
      <c r="AB201" s="27" t="str">
        <f t="shared" si="8"/>
        <v>MC</v>
      </c>
    </row>
    <row r="202" spans="1:28" ht="18" customHeight="1" x14ac:dyDescent="0.3">
      <c r="A202" s="15" t="s">
        <v>347</v>
      </c>
      <c r="B202" s="16">
        <v>45686</v>
      </c>
      <c r="C202" s="8" t="s">
        <v>293</v>
      </c>
      <c r="D202" s="8" t="s">
        <v>294</v>
      </c>
      <c r="E202" s="8" t="s">
        <v>80</v>
      </c>
      <c r="F202" s="8" t="s">
        <v>81</v>
      </c>
      <c r="G202" s="8" t="s">
        <v>19</v>
      </c>
      <c r="H202" s="17">
        <v>2</v>
      </c>
      <c r="I202" s="17">
        <v>699.99</v>
      </c>
      <c r="J202" s="8" t="s">
        <v>57</v>
      </c>
      <c r="K202" s="8" t="s">
        <v>21</v>
      </c>
      <c r="L202" s="8" t="s">
        <v>27</v>
      </c>
      <c r="M202" s="16">
        <v>44681</v>
      </c>
      <c r="N202" s="18">
        <v>1399.98</v>
      </c>
      <c r="V202" s="27">
        <f t="shared" si="7"/>
        <v>30</v>
      </c>
      <c r="AB202" s="27" t="str">
        <f t="shared" si="8"/>
        <v>DW</v>
      </c>
    </row>
    <row r="203" spans="1:28" ht="18" customHeight="1" x14ac:dyDescent="0.3">
      <c r="A203" s="15" t="s">
        <v>348</v>
      </c>
      <c r="B203" s="16">
        <v>45688</v>
      </c>
      <c r="C203" s="8" t="s">
        <v>65</v>
      </c>
      <c r="D203" s="8" t="s">
        <v>66</v>
      </c>
      <c r="E203" s="8" t="s">
        <v>80</v>
      </c>
      <c r="F203" s="8" t="s">
        <v>81</v>
      </c>
      <c r="G203" s="8" t="s">
        <v>19</v>
      </c>
      <c r="H203" s="17">
        <v>4</v>
      </c>
      <c r="I203" s="17">
        <v>699.99</v>
      </c>
      <c r="J203" s="8" t="s">
        <v>57</v>
      </c>
      <c r="K203" s="8" t="s">
        <v>50</v>
      </c>
      <c r="L203" s="8" t="s">
        <v>27</v>
      </c>
      <c r="M203" s="16">
        <v>44692</v>
      </c>
      <c r="N203" s="18">
        <v>2799.96</v>
      </c>
      <c r="V203" s="27">
        <f t="shared" si="7"/>
        <v>30</v>
      </c>
      <c r="AB203" s="27" t="str">
        <f t="shared" si="8"/>
        <v>KH</v>
      </c>
    </row>
    <row r="204" spans="1:28" ht="18" customHeight="1" x14ac:dyDescent="0.3">
      <c r="A204" s="15" t="s">
        <v>349</v>
      </c>
      <c r="B204" s="16">
        <v>45688</v>
      </c>
      <c r="C204" s="8" t="s">
        <v>123</v>
      </c>
      <c r="D204" s="8" t="s">
        <v>124</v>
      </c>
      <c r="E204" s="8" t="s">
        <v>117</v>
      </c>
      <c r="F204" s="8" t="s">
        <v>118</v>
      </c>
      <c r="G204" s="8" t="s">
        <v>19</v>
      </c>
      <c r="H204" s="17">
        <v>2</v>
      </c>
      <c r="I204" s="17">
        <v>89.99</v>
      </c>
      <c r="J204" s="8" t="s">
        <v>57</v>
      </c>
      <c r="K204" s="8" t="s">
        <v>35</v>
      </c>
      <c r="L204" s="8" t="s">
        <v>22</v>
      </c>
      <c r="M204" s="16">
        <v>44777</v>
      </c>
      <c r="N204" s="18">
        <v>179.98</v>
      </c>
      <c r="V204" s="27">
        <f t="shared" si="7"/>
        <v>34</v>
      </c>
      <c r="AB204" s="27" t="str">
        <f t="shared" si="8"/>
        <v>EM</v>
      </c>
    </row>
    <row r="205" spans="1:28" ht="18" customHeight="1" x14ac:dyDescent="0.3">
      <c r="A205" s="15" t="s">
        <v>350</v>
      </c>
      <c r="B205" s="16">
        <v>45688</v>
      </c>
      <c r="C205" s="8" t="s">
        <v>42</v>
      </c>
      <c r="D205" s="8" t="s">
        <v>43</v>
      </c>
      <c r="E205" s="8" t="s">
        <v>117</v>
      </c>
      <c r="F205" s="8" t="s">
        <v>118</v>
      </c>
      <c r="G205" s="8" t="s">
        <v>19</v>
      </c>
      <c r="H205" s="17">
        <v>3</v>
      </c>
      <c r="I205" s="17">
        <v>89.99</v>
      </c>
      <c r="J205" s="8" t="s">
        <v>57</v>
      </c>
      <c r="K205" s="8" t="s">
        <v>35</v>
      </c>
      <c r="L205" s="8" t="s">
        <v>27</v>
      </c>
      <c r="M205" s="16">
        <v>45307</v>
      </c>
      <c r="N205" s="18">
        <v>269.97000000000003</v>
      </c>
      <c r="V205" s="27">
        <f t="shared" si="7"/>
        <v>34</v>
      </c>
      <c r="AB205" s="27" t="str">
        <f t="shared" si="8"/>
        <v>MB</v>
      </c>
    </row>
    <row r="206" spans="1:28" ht="18" customHeight="1" x14ac:dyDescent="0.3">
      <c r="A206" s="15" t="s">
        <v>351</v>
      </c>
      <c r="B206" s="16">
        <v>45692</v>
      </c>
      <c r="C206" s="8" t="s">
        <v>325</v>
      </c>
      <c r="D206" s="8" t="s">
        <v>326</v>
      </c>
      <c r="E206" s="8" t="s">
        <v>31</v>
      </c>
      <c r="F206" s="8" t="s">
        <v>32</v>
      </c>
      <c r="G206" s="8" t="s">
        <v>33</v>
      </c>
      <c r="H206" s="17">
        <v>1</v>
      </c>
      <c r="I206" s="17">
        <v>59.99</v>
      </c>
      <c r="J206" s="8" t="s">
        <v>57</v>
      </c>
      <c r="K206" s="8" t="s">
        <v>21</v>
      </c>
      <c r="L206" s="8" t="s">
        <v>36</v>
      </c>
      <c r="M206" s="16">
        <v>45045</v>
      </c>
      <c r="N206" s="18">
        <v>59.99</v>
      </c>
      <c r="V206" s="27">
        <f t="shared" si="7"/>
        <v>29</v>
      </c>
      <c r="AB206" s="27" t="str">
        <f t="shared" si="8"/>
        <v>AE</v>
      </c>
    </row>
    <row r="207" spans="1:28" ht="18" customHeight="1" x14ac:dyDescent="0.3">
      <c r="A207" s="15" t="s">
        <v>352</v>
      </c>
      <c r="B207" s="16">
        <v>45695</v>
      </c>
      <c r="C207" s="8" t="s">
        <v>246</v>
      </c>
      <c r="D207" s="8" t="s">
        <v>247</v>
      </c>
      <c r="E207" s="8" t="s">
        <v>44</v>
      </c>
      <c r="F207" s="8" t="s">
        <v>45</v>
      </c>
      <c r="G207" s="8" t="s">
        <v>46</v>
      </c>
      <c r="H207" s="17">
        <v>3</v>
      </c>
      <c r="I207" s="17">
        <v>149.99</v>
      </c>
      <c r="J207" s="8" t="s">
        <v>57</v>
      </c>
      <c r="K207" s="8" t="s">
        <v>40</v>
      </c>
      <c r="L207" s="8" t="s">
        <v>27</v>
      </c>
      <c r="M207" s="16">
        <v>44564</v>
      </c>
      <c r="N207" s="18">
        <v>449.97</v>
      </c>
      <c r="V207" s="27">
        <f t="shared" si="7"/>
        <v>35</v>
      </c>
      <c r="AB207" s="27" t="str">
        <f t="shared" si="8"/>
        <v>RB</v>
      </c>
    </row>
    <row r="208" spans="1:28" ht="18" customHeight="1" x14ac:dyDescent="0.3">
      <c r="A208" s="15" t="s">
        <v>353</v>
      </c>
      <c r="B208" s="16">
        <v>45695</v>
      </c>
      <c r="C208" s="8" t="s">
        <v>93</v>
      </c>
      <c r="D208" s="8" t="s">
        <v>94</v>
      </c>
      <c r="E208" s="8" t="s">
        <v>105</v>
      </c>
      <c r="F208" s="8" t="s">
        <v>106</v>
      </c>
      <c r="G208" s="8" t="s">
        <v>46</v>
      </c>
      <c r="H208" s="17">
        <v>5</v>
      </c>
      <c r="I208" s="17">
        <v>299.99</v>
      </c>
      <c r="J208" s="8" t="s">
        <v>26</v>
      </c>
      <c r="K208" s="8" t="s">
        <v>35</v>
      </c>
      <c r="L208" s="8" t="s">
        <v>22</v>
      </c>
      <c r="M208" s="16">
        <v>44959</v>
      </c>
      <c r="N208" s="18">
        <v>1499.95</v>
      </c>
      <c r="V208" s="27">
        <f t="shared" si="7"/>
        <v>26</v>
      </c>
      <c r="AB208" s="27" t="str">
        <f t="shared" si="8"/>
        <v>VS</v>
      </c>
    </row>
    <row r="209" spans="1:28" ht="18" customHeight="1" x14ac:dyDescent="0.3">
      <c r="A209" s="15" t="s">
        <v>354</v>
      </c>
      <c r="B209" s="16">
        <v>45696</v>
      </c>
      <c r="C209" s="8" t="s">
        <v>150</v>
      </c>
      <c r="D209" s="8" t="s">
        <v>151</v>
      </c>
      <c r="E209" s="8" t="s">
        <v>31</v>
      </c>
      <c r="F209" s="8" t="s">
        <v>32</v>
      </c>
      <c r="G209" s="8" t="s">
        <v>33</v>
      </c>
      <c r="H209" s="17">
        <v>5</v>
      </c>
      <c r="I209" s="17">
        <v>59.99</v>
      </c>
      <c r="J209" s="8" t="s">
        <v>57</v>
      </c>
      <c r="K209" s="8" t="s">
        <v>21</v>
      </c>
      <c r="L209" s="8" t="s">
        <v>36</v>
      </c>
      <c r="M209" s="16">
        <v>45177</v>
      </c>
      <c r="N209" s="18">
        <v>299.95</v>
      </c>
      <c r="V209" s="27">
        <f t="shared" si="7"/>
        <v>29</v>
      </c>
      <c r="AB209" s="27" t="str">
        <f t="shared" si="8"/>
        <v>SB</v>
      </c>
    </row>
    <row r="210" spans="1:28" ht="18" customHeight="1" x14ac:dyDescent="0.3">
      <c r="A210" s="15" t="s">
        <v>355</v>
      </c>
      <c r="B210" s="16">
        <v>45701</v>
      </c>
      <c r="C210" s="8" t="s">
        <v>108</v>
      </c>
      <c r="D210" s="8" t="s">
        <v>109</v>
      </c>
      <c r="E210" s="8" t="s">
        <v>114</v>
      </c>
      <c r="F210" s="8" t="s">
        <v>115</v>
      </c>
      <c r="G210" s="8" t="s">
        <v>33</v>
      </c>
      <c r="H210" s="17">
        <v>3</v>
      </c>
      <c r="I210" s="17">
        <v>79.989999999999995</v>
      </c>
      <c r="J210" s="8" t="s">
        <v>20</v>
      </c>
      <c r="K210" s="8" t="s">
        <v>63</v>
      </c>
      <c r="L210" s="8" t="s">
        <v>27</v>
      </c>
      <c r="M210" s="16">
        <v>44436</v>
      </c>
      <c r="N210" s="18">
        <v>239.97</v>
      </c>
      <c r="V210" s="27">
        <f t="shared" si="7"/>
        <v>14</v>
      </c>
      <c r="AB210" s="27" t="str">
        <f t="shared" si="8"/>
        <v>NC</v>
      </c>
    </row>
    <row r="211" spans="1:28" ht="18" customHeight="1" x14ac:dyDescent="0.3">
      <c r="A211" s="15" t="s">
        <v>356</v>
      </c>
      <c r="B211" s="16">
        <v>45704</v>
      </c>
      <c r="C211" s="8" t="s">
        <v>29</v>
      </c>
      <c r="D211" s="8" t="s">
        <v>30</v>
      </c>
      <c r="E211" s="8" t="s">
        <v>126</v>
      </c>
      <c r="F211" s="8" t="s">
        <v>127</v>
      </c>
      <c r="G211" s="8" t="s">
        <v>46</v>
      </c>
      <c r="H211" s="17">
        <v>3</v>
      </c>
      <c r="I211" s="17">
        <v>199.99</v>
      </c>
      <c r="J211" s="8" t="s">
        <v>20</v>
      </c>
      <c r="K211" s="8" t="s">
        <v>21</v>
      </c>
      <c r="L211" s="8" t="s">
        <v>22</v>
      </c>
      <c r="M211" s="16">
        <v>44735</v>
      </c>
      <c r="N211" s="18">
        <v>599.97</v>
      </c>
      <c r="V211" s="27">
        <f t="shared" si="7"/>
        <v>15</v>
      </c>
      <c r="AB211" s="27" t="str">
        <f t="shared" si="8"/>
        <v>KS</v>
      </c>
    </row>
    <row r="212" spans="1:28" ht="18" customHeight="1" x14ac:dyDescent="0.3">
      <c r="A212" s="15" t="s">
        <v>357</v>
      </c>
      <c r="B212" s="16">
        <v>45704</v>
      </c>
      <c r="C212" s="8" t="s">
        <v>15</v>
      </c>
      <c r="D212" s="8" t="s">
        <v>16</v>
      </c>
      <c r="E212" s="8" t="s">
        <v>117</v>
      </c>
      <c r="F212" s="8" t="s">
        <v>118</v>
      </c>
      <c r="G212" s="8" t="s">
        <v>19</v>
      </c>
      <c r="H212" s="17">
        <v>2</v>
      </c>
      <c r="I212" s="17">
        <v>89.99</v>
      </c>
      <c r="J212" s="8" t="s">
        <v>34</v>
      </c>
      <c r="K212" s="8" t="s">
        <v>21</v>
      </c>
      <c r="L212" s="8" t="s">
        <v>22</v>
      </c>
      <c r="M212" s="16">
        <v>45257</v>
      </c>
      <c r="N212" s="18">
        <v>179.98</v>
      </c>
      <c r="V212" s="27">
        <f t="shared" si="7"/>
        <v>34</v>
      </c>
      <c r="AB212" s="27" t="str">
        <f t="shared" si="8"/>
        <v>PB</v>
      </c>
    </row>
    <row r="213" spans="1:28" ht="18" customHeight="1" x14ac:dyDescent="0.3">
      <c r="A213" s="15" t="s">
        <v>358</v>
      </c>
      <c r="B213" s="16">
        <v>45705</v>
      </c>
      <c r="C213" s="8" t="s">
        <v>259</v>
      </c>
      <c r="D213" s="8" t="s">
        <v>260</v>
      </c>
      <c r="E213" s="8" t="s">
        <v>44</v>
      </c>
      <c r="F213" s="8" t="s">
        <v>45</v>
      </c>
      <c r="G213" s="8" t="s">
        <v>46</v>
      </c>
      <c r="H213" s="17">
        <v>2</v>
      </c>
      <c r="I213" s="17">
        <v>149.99</v>
      </c>
      <c r="J213" s="8" t="s">
        <v>20</v>
      </c>
      <c r="K213" s="8" t="s">
        <v>35</v>
      </c>
      <c r="L213" s="8" t="s">
        <v>27</v>
      </c>
      <c r="M213" s="16">
        <v>44728</v>
      </c>
      <c r="N213" s="18">
        <v>299.98</v>
      </c>
      <c r="V213" s="27">
        <f t="shared" si="7"/>
        <v>35</v>
      </c>
      <c r="AB213" s="27" t="str">
        <f t="shared" si="8"/>
        <v>RL</v>
      </c>
    </row>
    <row r="214" spans="1:28" ht="18" customHeight="1" x14ac:dyDescent="0.3">
      <c r="A214" s="15" t="s">
        <v>359</v>
      </c>
      <c r="B214" s="16">
        <v>45707</v>
      </c>
      <c r="C214" s="8" t="s">
        <v>123</v>
      </c>
      <c r="D214" s="8" t="s">
        <v>124</v>
      </c>
      <c r="E214" s="8" t="s">
        <v>80</v>
      </c>
      <c r="F214" s="8" t="s">
        <v>81</v>
      </c>
      <c r="G214" s="8" t="s">
        <v>19</v>
      </c>
      <c r="H214" s="17">
        <v>5</v>
      </c>
      <c r="I214" s="17">
        <v>699.99</v>
      </c>
      <c r="J214" s="8" t="s">
        <v>34</v>
      </c>
      <c r="K214" s="8" t="s">
        <v>35</v>
      </c>
      <c r="L214" s="8" t="s">
        <v>27</v>
      </c>
      <c r="M214" s="16">
        <v>45352</v>
      </c>
      <c r="N214" s="18">
        <v>3499.95</v>
      </c>
      <c r="V214" s="27">
        <f t="shared" si="7"/>
        <v>30</v>
      </c>
      <c r="AB214" s="27" t="str">
        <f t="shared" si="8"/>
        <v>EM</v>
      </c>
    </row>
    <row r="215" spans="1:28" ht="18" customHeight="1" x14ac:dyDescent="0.3">
      <c r="A215" s="15" t="s">
        <v>360</v>
      </c>
      <c r="B215" s="16">
        <v>45707</v>
      </c>
      <c r="C215" s="8" t="s">
        <v>42</v>
      </c>
      <c r="D215" s="8" t="s">
        <v>43</v>
      </c>
      <c r="E215" s="8" t="s">
        <v>44</v>
      </c>
      <c r="F215" s="8" t="s">
        <v>45</v>
      </c>
      <c r="G215" s="8" t="s">
        <v>46</v>
      </c>
      <c r="H215" s="17">
        <v>3</v>
      </c>
      <c r="I215" s="17">
        <v>149.99</v>
      </c>
      <c r="J215" s="8" t="s">
        <v>34</v>
      </c>
      <c r="K215" s="8" t="s">
        <v>21</v>
      </c>
      <c r="L215" s="8" t="s">
        <v>36</v>
      </c>
      <c r="M215" s="16">
        <v>44633</v>
      </c>
      <c r="N215" s="18">
        <v>449.97</v>
      </c>
      <c r="V215" s="27">
        <f t="shared" si="7"/>
        <v>35</v>
      </c>
      <c r="AB215" s="27" t="str">
        <f t="shared" si="8"/>
        <v>MB</v>
      </c>
    </row>
    <row r="216" spans="1:28" ht="18" customHeight="1" x14ac:dyDescent="0.3">
      <c r="A216" s="15" t="s">
        <v>361</v>
      </c>
      <c r="B216" s="16">
        <v>45708</v>
      </c>
      <c r="C216" s="8" t="s">
        <v>96</v>
      </c>
      <c r="D216" s="8" t="s">
        <v>97</v>
      </c>
      <c r="E216" s="8" t="s">
        <v>61</v>
      </c>
      <c r="F216" s="8" t="s">
        <v>62</v>
      </c>
      <c r="G216" s="8" t="s">
        <v>19</v>
      </c>
      <c r="H216" s="17">
        <v>3</v>
      </c>
      <c r="I216" s="17">
        <v>899.99</v>
      </c>
      <c r="J216" s="8" t="s">
        <v>20</v>
      </c>
      <c r="K216" s="8" t="s">
        <v>63</v>
      </c>
      <c r="L216" s="8" t="s">
        <v>36</v>
      </c>
      <c r="M216" s="16">
        <v>44613</v>
      </c>
      <c r="N216" s="18">
        <v>2699.97</v>
      </c>
      <c r="V216" s="27">
        <f t="shared" si="7"/>
        <v>24</v>
      </c>
      <c r="AB216" s="27" t="str">
        <f t="shared" si="8"/>
        <v>BY</v>
      </c>
    </row>
    <row r="217" spans="1:28" ht="18" customHeight="1" x14ac:dyDescent="0.3">
      <c r="A217" s="15" t="s">
        <v>362</v>
      </c>
      <c r="B217" s="16">
        <v>45708</v>
      </c>
      <c r="C217" s="8" t="s">
        <v>192</v>
      </c>
      <c r="D217" s="8" t="s">
        <v>193</v>
      </c>
      <c r="E217" s="8" t="s">
        <v>126</v>
      </c>
      <c r="F217" s="8" t="s">
        <v>127</v>
      </c>
      <c r="G217" s="8" t="s">
        <v>46</v>
      </c>
      <c r="H217" s="17">
        <v>3</v>
      </c>
      <c r="I217" s="17">
        <v>199.99</v>
      </c>
      <c r="J217" s="8" t="s">
        <v>20</v>
      </c>
      <c r="K217" s="8" t="s">
        <v>50</v>
      </c>
      <c r="L217" s="8" t="s">
        <v>27</v>
      </c>
      <c r="M217" s="16">
        <v>44823</v>
      </c>
      <c r="N217" s="18">
        <v>599.97</v>
      </c>
      <c r="V217" s="27">
        <f t="shared" si="7"/>
        <v>15</v>
      </c>
      <c r="AB217" s="27" t="str">
        <f t="shared" si="8"/>
        <v>FT</v>
      </c>
    </row>
    <row r="218" spans="1:28" ht="18" customHeight="1" x14ac:dyDescent="0.3">
      <c r="A218" s="15" t="s">
        <v>363</v>
      </c>
      <c r="B218" s="16">
        <v>45710</v>
      </c>
      <c r="C218" s="8" t="s">
        <v>55</v>
      </c>
      <c r="D218" s="8" t="s">
        <v>56</v>
      </c>
      <c r="E218" s="8" t="s">
        <v>105</v>
      </c>
      <c r="F218" s="8" t="s">
        <v>106</v>
      </c>
      <c r="G218" s="8" t="s">
        <v>46</v>
      </c>
      <c r="H218" s="17">
        <v>5</v>
      </c>
      <c r="I218" s="17">
        <v>299.99</v>
      </c>
      <c r="J218" s="8" t="s">
        <v>20</v>
      </c>
      <c r="K218" s="8" t="s">
        <v>50</v>
      </c>
      <c r="L218" s="8" t="s">
        <v>36</v>
      </c>
      <c r="M218" s="16">
        <v>45142</v>
      </c>
      <c r="N218" s="18">
        <v>1499.95</v>
      </c>
      <c r="V218" s="27">
        <f t="shared" si="7"/>
        <v>26</v>
      </c>
      <c r="AB218" s="27" t="str">
        <f t="shared" si="8"/>
        <v>CA</v>
      </c>
    </row>
    <row r="219" spans="1:28" ht="18" customHeight="1" x14ac:dyDescent="0.3">
      <c r="A219" s="15" t="s">
        <v>364</v>
      </c>
      <c r="B219" s="16">
        <v>45710</v>
      </c>
      <c r="C219" s="8" t="s">
        <v>150</v>
      </c>
      <c r="D219" s="8" t="s">
        <v>151</v>
      </c>
      <c r="E219" s="8" t="s">
        <v>80</v>
      </c>
      <c r="F219" s="8" t="s">
        <v>81</v>
      </c>
      <c r="G219" s="8" t="s">
        <v>19</v>
      </c>
      <c r="H219" s="17">
        <v>1</v>
      </c>
      <c r="I219" s="17">
        <v>699.99</v>
      </c>
      <c r="J219" s="8" t="s">
        <v>34</v>
      </c>
      <c r="K219" s="8" t="s">
        <v>50</v>
      </c>
      <c r="L219" s="8" t="s">
        <v>22</v>
      </c>
      <c r="M219" s="16">
        <v>44934</v>
      </c>
      <c r="N219" s="18">
        <v>699.99</v>
      </c>
      <c r="V219" s="27">
        <f t="shared" si="7"/>
        <v>30</v>
      </c>
      <c r="AB219" s="27" t="str">
        <f t="shared" si="8"/>
        <v>SB</v>
      </c>
    </row>
    <row r="220" spans="1:28" ht="18" customHeight="1" x14ac:dyDescent="0.3">
      <c r="A220" s="15" t="s">
        <v>365</v>
      </c>
      <c r="B220" s="16">
        <v>45711</v>
      </c>
      <c r="C220" s="8" t="s">
        <v>246</v>
      </c>
      <c r="D220" s="8" t="s">
        <v>247</v>
      </c>
      <c r="E220" s="8" t="s">
        <v>80</v>
      </c>
      <c r="F220" s="8" t="s">
        <v>81</v>
      </c>
      <c r="G220" s="8" t="s">
        <v>19</v>
      </c>
      <c r="H220" s="17">
        <v>1</v>
      </c>
      <c r="I220" s="17">
        <v>699.99</v>
      </c>
      <c r="J220" s="8" t="s">
        <v>20</v>
      </c>
      <c r="K220" s="8" t="s">
        <v>40</v>
      </c>
      <c r="L220" s="8" t="s">
        <v>27</v>
      </c>
      <c r="M220" s="16">
        <v>44583</v>
      </c>
      <c r="N220" s="18">
        <v>699.99</v>
      </c>
      <c r="V220" s="27">
        <f t="shared" si="7"/>
        <v>30</v>
      </c>
      <c r="AB220" s="27" t="str">
        <f t="shared" si="8"/>
        <v>RB</v>
      </c>
    </row>
    <row r="221" spans="1:28" ht="18" customHeight="1" x14ac:dyDescent="0.3">
      <c r="A221" s="15" t="s">
        <v>366</v>
      </c>
      <c r="B221" s="16">
        <v>45711</v>
      </c>
      <c r="C221" s="8" t="s">
        <v>325</v>
      </c>
      <c r="D221" s="8" t="s">
        <v>326</v>
      </c>
      <c r="E221" s="8" t="s">
        <v>44</v>
      </c>
      <c r="F221" s="8" t="s">
        <v>45</v>
      </c>
      <c r="G221" s="8" t="s">
        <v>46</v>
      </c>
      <c r="H221" s="17">
        <v>4</v>
      </c>
      <c r="I221" s="17">
        <v>149.99</v>
      </c>
      <c r="J221" s="8" t="s">
        <v>34</v>
      </c>
      <c r="K221" s="8" t="s">
        <v>40</v>
      </c>
      <c r="L221" s="8" t="s">
        <v>27</v>
      </c>
      <c r="M221" s="16">
        <v>44412</v>
      </c>
      <c r="N221" s="18">
        <v>599.96</v>
      </c>
      <c r="V221" s="27">
        <f t="shared" si="7"/>
        <v>35</v>
      </c>
      <c r="AB221" s="27" t="str">
        <f t="shared" si="8"/>
        <v>AE</v>
      </c>
    </row>
    <row r="222" spans="1:28" ht="18" customHeight="1" x14ac:dyDescent="0.3">
      <c r="A222" s="15" t="s">
        <v>367</v>
      </c>
      <c r="B222" s="16">
        <v>45711</v>
      </c>
      <c r="C222" s="8" t="s">
        <v>211</v>
      </c>
      <c r="D222" s="8" t="s">
        <v>212</v>
      </c>
      <c r="E222" s="8" t="s">
        <v>117</v>
      </c>
      <c r="F222" s="8" t="s">
        <v>118</v>
      </c>
      <c r="G222" s="8" t="s">
        <v>19</v>
      </c>
      <c r="H222" s="17">
        <v>5</v>
      </c>
      <c r="I222" s="17">
        <v>89.99</v>
      </c>
      <c r="J222" s="8" t="s">
        <v>34</v>
      </c>
      <c r="K222" s="8" t="s">
        <v>50</v>
      </c>
      <c r="L222" s="8" t="s">
        <v>27</v>
      </c>
      <c r="M222" s="16">
        <v>45140</v>
      </c>
      <c r="N222" s="18">
        <v>449.95</v>
      </c>
      <c r="V222" s="27">
        <f t="shared" si="7"/>
        <v>34</v>
      </c>
      <c r="AB222" s="27" t="str">
        <f t="shared" si="8"/>
        <v>EH</v>
      </c>
    </row>
    <row r="223" spans="1:28" ht="18" customHeight="1" x14ac:dyDescent="0.3">
      <c r="A223" s="15" t="s">
        <v>368</v>
      </c>
      <c r="B223" s="16">
        <v>45712</v>
      </c>
      <c r="C223" s="8" t="s">
        <v>138</v>
      </c>
      <c r="D223" s="8" t="s">
        <v>139</v>
      </c>
      <c r="E223" s="8" t="s">
        <v>126</v>
      </c>
      <c r="F223" s="8" t="s">
        <v>127</v>
      </c>
      <c r="G223" s="8" t="s">
        <v>46</v>
      </c>
      <c r="H223" s="17">
        <v>2</v>
      </c>
      <c r="I223" s="17">
        <v>199.99</v>
      </c>
      <c r="J223" s="8" t="s">
        <v>20</v>
      </c>
      <c r="K223" s="8" t="s">
        <v>21</v>
      </c>
      <c r="L223" s="8" t="s">
        <v>27</v>
      </c>
      <c r="M223" s="16">
        <v>44573</v>
      </c>
      <c r="N223" s="18">
        <v>399.98</v>
      </c>
      <c r="V223" s="27">
        <f t="shared" si="7"/>
        <v>15</v>
      </c>
      <c r="AB223" s="27" t="str">
        <f t="shared" si="8"/>
        <v>ST</v>
      </c>
    </row>
    <row r="224" spans="1:28" ht="18" customHeight="1" x14ac:dyDescent="0.3">
      <c r="A224" s="15" t="s">
        <v>369</v>
      </c>
      <c r="B224" s="16">
        <v>45715</v>
      </c>
      <c r="C224" s="8" t="s">
        <v>259</v>
      </c>
      <c r="D224" s="8" t="s">
        <v>260</v>
      </c>
      <c r="E224" s="8" t="s">
        <v>31</v>
      </c>
      <c r="F224" s="8" t="s">
        <v>32</v>
      </c>
      <c r="G224" s="8" t="s">
        <v>33</v>
      </c>
      <c r="H224" s="17">
        <v>4</v>
      </c>
      <c r="I224" s="17">
        <v>59.99</v>
      </c>
      <c r="J224" s="8" t="s">
        <v>20</v>
      </c>
      <c r="K224" s="8" t="s">
        <v>50</v>
      </c>
      <c r="L224" s="8" t="s">
        <v>36</v>
      </c>
      <c r="M224" s="16">
        <v>45070</v>
      </c>
      <c r="N224" s="18">
        <v>239.96</v>
      </c>
      <c r="V224" s="27">
        <f t="shared" si="7"/>
        <v>29</v>
      </c>
      <c r="AB224" s="27" t="str">
        <f t="shared" si="8"/>
        <v>RL</v>
      </c>
    </row>
    <row r="225" spans="1:28" ht="18" customHeight="1" x14ac:dyDescent="0.3">
      <c r="A225" s="15" t="s">
        <v>370</v>
      </c>
      <c r="B225" s="16">
        <v>45715</v>
      </c>
      <c r="C225" s="8" t="s">
        <v>93</v>
      </c>
      <c r="D225" s="8" t="s">
        <v>94</v>
      </c>
      <c r="E225" s="8" t="s">
        <v>105</v>
      </c>
      <c r="F225" s="8" t="s">
        <v>106</v>
      </c>
      <c r="G225" s="8" t="s">
        <v>46</v>
      </c>
      <c r="H225" s="17">
        <v>2</v>
      </c>
      <c r="I225" s="17">
        <v>299.99</v>
      </c>
      <c r="J225" s="8" t="s">
        <v>34</v>
      </c>
      <c r="K225" s="8" t="s">
        <v>35</v>
      </c>
      <c r="L225" s="8" t="s">
        <v>22</v>
      </c>
      <c r="M225" s="16">
        <v>44576</v>
      </c>
      <c r="N225" s="18">
        <v>599.98</v>
      </c>
      <c r="V225" s="27">
        <f t="shared" si="7"/>
        <v>26</v>
      </c>
      <c r="AB225" s="27" t="str">
        <f t="shared" si="8"/>
        <v>VS</v>
      </c>
    </row>
    <row r="226" spans="1:28" ht="18" customHeight="1" x14ac:dyDescent="0.3">
      <c r="A226" s="15" t="s">
        <v>371</v>
      </c>
      <c r="B226" s="16">
        <v>45718</v>
      </c>
      <c r="C226" s="8" t="s">
        <v>55</v>
      </c>
      <c r="D226" s="8" t="s">
        <v>56</v>
      </c>
      <c r="E226" s="8" t="s">
        <v>44</v>
      </c>
      <c r="F226" s="8" t="s">
        <v>45</v>
      </c>
      <c r="G226" s="8" t="s">
        <v>46</v>
      </c>
      <c r="H226" s="17">
        <v>2</v>
      </c>
      <c r="I226" s="17">
        <v>149.99</v>
      </c>
      <c r="J226" s="8" t="s">
        <v>20</v>
      </c>
      <c r="K226" s="8" t="s">
        <v>21</v>
      </c>
      <c r="L226" s="8" t="s">
        <v>22</v>
      </c>
      <c r="M226" s="16">
        <v>45068</v>
      </c>
      <c r="N226" s="18">
        <v>299.98</v>
      </c>
      <c r="V226" s="27">
        <f t="shared" si="7"/>
        <v>35</v>
      </c>
      <c r="AB226" s="27" t="str">
        <f t="shared" si="8"/>
        <v>CA</v>
      </c>
    </row>
    <row r="227" spans="1:28" ht="18" customHeight="1" x14ac:dyDescent="0.3">
      <c r="A227" s="15" t="s">
        <v>372</v>
      </c>
      <c r="B227" s="16">
        <v>45720</v>
      </c>
      <c r="C227" s="8" t="s">
        <v>226</v>
      </c>
      <c r="D227" s="8" t="s">
        <v>227</v>
      </c>
      <c r="E227" s="8" t="s">
        <v>80</v>
      </c>
      <c r="F227" s="8" t="s">
        <v>81</v>
      </c>
      <c r="G227" s="8" t="s">
        <v>19</v>
      </c>
      <c r="H227" s="17">
        <v>5</v>
      </c>
      <c r="I227" s="17">
        <v>699.99</v>
      </c>
      <c r="J227" s="8" t="s">
        <v>57</v>
      </c>
      <c r="K227" s="8" t="s">
        <v>63</v>
      </c>
      <c r="L227" s="8" t="s">
        <v>27</v>
      </c>
      <c r="M227" s="16">
        <v>45161</v>
      </c>
      <c r="N227" s="18">
        <v>3499.95</v>
      </c>
      <c r="V227" s="27">
        <f t="shared" si="7"/>
        <v>30</v>
      </c>
      <c r="AB227" s="27" t="str">
        <f t="shared" si="8"/>
        <v>LR</v>
      </c>
    </row>
    <row r="228" spans="1:28" ht="18" customHeight="1" x14ac:dyDescent="0.3">
      <c r="A228" s="15" t="s">
        <v>373</v>
      </c>
      <c r="B228" s="16">
        <v>45721</v>
      </c>
      <c r="C228" s="8" t="s">
        <v>75</v>
      </c>
      <c r="D228" s="8" t="s">
        <v>76</v>
      </c>
      <c r="E228" s="8" t="s">
        <v>31</v>
      </c>
      <c r="F228" s="8" t="s">
        <v>32</v>
      </c>
      <c r="G228" s="8" t="s">
        <v>33</v>
      </c>
      <c r="H228" s="17">
        <v>5</v>
      </c>
      <c r="I228" s="17">
        <v>59.99</v>
      </c>
      <c r="J228" s="8" t="s">
        <v>20</v>
      </c>
      <c r="K228" s="8" t="s">
        <v>50</v>
      </c>
      <c r="L228" s="8" t="s">
        <v>27</v>
      </c>
      <c r="M228" s="16">
        <v>45291</v>
      </c>
      <c r="N228" s="18">
        <v>299.95</v>
      </c>
      <c r="V228" s="27">
        <f t="shared" si="7"/>
        <v>29</v>
      </c>
      <c r="AB228" s="27" t="str">
        <f t="shared" si="8"/>
        <v>DG</v>
      </c>
    </row>
    <row r="229" spans="1:28" ht="18" customHeight="1" x14ac:dyDescent="0.3">
      <c r="A229" s="15" t="s">
        <v>374</v>
      </c>
      <c r="B229" s="16">
        <v>45723</v>
      </c>
      <c r="C229" s="8" t="s">
        <v>15</v>
      </c>
      <c r="D229" s="8" t="s">
        <v>16</v>
      </c>
      <c r="E229" s="8" t="s">
        <v>117</v>
      </c>
      <c r="F229" s="8" t="s">
        <v>118</v>
      </c>
      <c r="G229" s="8" t="s">
        <v>19</v>
      </c>
      <c r="H229" s="17">
        <v>2</v>
      </c>
      <c r="I229" s="17">
        <v>89.99</v>
      </c>
      <c r="J229" s="8" t="s">
        <v>26</v>
      </c>
      <c r="K229" s="8" t="s">
        <v>50</v>
      </c>
      <c r="L229" s="8" t="s">
        <v>27</v>
      </c>
      <c r="M229" s="16">
        <v>45295</v>
      </c>
      <c r="N229" s="18">
        <v>179.98</v>
      </c>
      <c r="V229" s="27">
        <f t="shared" si="7"/>
        <v>34</v>
      </c>
      <c r="AB229" s="27" t="str">
        <f t="shared" si="8"/>
        <v>PB</v>
      </c>
    </row>
    <row r="230" spans="1:28" ht="18" customHeight="1" x14ac:dyDescent="0.3">
      <c r="A230" s="15" t="s">
        <v>375</v>
      </c>
      <c r="B230" s="16">
        <v>45723</v>
      </c>
      <c r="C230" s="8" t="s">
        <v>120</v>
      </c>
      <c r="D230" s="8" t="s">
        <v>121</v>
      </c>
      <c r="E230" s="8" t="s">
        <v>17</v>
      </c>
      <c r="F230" s="8" t="s">
        <v>18</v>
      </c>
      <c r="G230" s="8" t="s">
        <v>19</v>
      </c>
      <c r="H230" s="17">
        <v>5</v>
      </c>
      <c r="I230" s="17">
        <v>249.99</v>
      </c>
      <c r="J230" s="8" t="s">
        <v>20</v>
      </c>
      <c r="K230" s="8" t="s">
        <v>63</v>
      </c>
      <c r="L230" s="8" t="s">
        <v>36</v>
      </c>
      <c r="M230" s="16">
        <v>44540</v>
      </c>
      <c r="N230" s="18">
        <v>1249.95</v>
      </c>
      <c r="V230" s="27">
        <f t="shared" si="7"/>
        <v>26</v>
      </c>
      <c r="AB230" s="27" t="str">
        <f t="shared" si="8"/>
        <v>HR</v>
      </c>
    </row>
    <row r="231" spans="1:28" ht="18" customHeight="1" x14ac:dyDescent="0.3">
      <c r="A231" s="15" t="s">
        <v>376</v>
      </c>
      <c r="B231" s="16">
        <v>45724</v>
      </c>
      <c r="C231" s="8" t="s">
        <v>226</v>
      </c>
      <c r="D231" s="8" t="s">
        <v>227</v>
      </c>
      <c r="E231" s="8" t="s">
        <v>44</v>
      </c>
      <c r="F231" s="8" t="s">
        <v>45</v>
      </c>
      <c r="G231" s="8" t="s">
        <v>46</v>
      </c>
      <c r="H231" s="17">
        <v>2</v>
      </c>
      <c r="I231" s="17">
        <v>149.99</v>
      </c>
      <c r="J231" s="8" t="s">
        <v>34</v>
      </c>
      <c r="K231" s="8" t="s">
        <v>21</v>
      </c>
      <c r="L231" s="8" t="s">
        <v>27</v>
      </c>
      <c r="M231" s="16">
        <v>44632</v>
      </c>
      <c r="N231" s="18">
        <v>299.98</v>
      </c>
      <c r="V231" s="27">
        <f t="shared" si="7"/>
        <v>35</v>
      </c>
      <c r="AB231" s="27" t="str">
        <f t="shared" si="8"/>
        <v>LR</v>
      </c>
    </row>
    <row r="232" spans="1:28" ht="18" customHeight="1" x14ac:dyDescent="0.3">
      <c r="A232" s="15" t="s">
        <v>377</v>
      </c>
      <c r="B232" s="16">
        <v>45724</v>
      </c>
      <c r="C232" s="8" t="s">
        <v>144</v>
      </c>
      <c r="D232" s="8" t="s">
        <v>145</v>
      </c>
      <c r="E232" s="8" t="s">
        <v>61</v>
      </c>
      <c r="F232" s="8" t="s">
        <v>62</v>
      </c>
      <c r="G232" s="8" t="s">
        <v>19</v>
      </c>
      <c r="H232" s="17">
        <v>5</v>
      </c>
      <c r="I232" s="17">
        <v>899.99</v>
      </c>
      <c r="J232" s="8" t="s">
        <v>34</v>
      </c>
      <c r="K232" s="8" t="s">
        <v>63</v>
      </c>
      <c r="L232" s="8" t="s">
        <v>27</v>
      </c>
      <c r="M232" s="16">
        <v>45389</v>
      </c>
      <c r="N232" s="18">
        <v>4499.95</v>
      </c>
      <c r="V232" s="27">
        <f t="shared" si="7"/>
        <v>24</v>
      </c>
      <c r="AB232" s="27" t="str">
        <f t="shared" si="8"/>
        <v>HM</v>
      </c>
    </row>
    <row r="233" spans="1:28" ht="18" customHeight="1" x14ac:dyDescent="0.3">
      <c r="A233" s="15" t="s">
        <v>378</v>
      </c>
      <c r="B233" s="16">
        <v>45724</v>
      </c>
      <c r="C233" s="8" t="s">
        <v>55</v>
      </c>
      <c r="D233" s="8" t="s">
        <v>56</v>
      </c>
      <c r="E233" s="8" t="s">
        <v>44</v>
      </c>
      <c r="F233" s="8" t="s">
        <v>45</v>
      </c>
      <c r="G233" s="8" t="s">
        <v>46</v>
      </c>
      <c r="H233" s="17">
        <v>4</v>
      </c>
      <c r="I233" s="17">
        <v>149.99</v>
      </c>
      <c r="J233" s="8" t="s">
        <v>20</v>
      </c>
      <c r="K233" s="8" t="s">
        <v>21</v>
      </c>
      <c r="L233" s="8" t="s">
        <v>36</v>
      </c>
      <c r="M233" s="16">
        <v>45263</v>
      </c>
      <c r="N233" s="18">
        <v>599.96</v>
      </c>
      <c r="V233" s="27">
        <f t="shared" si="7"/>
        <v>35</v>
      </c>
      <c r="AB233" s="27" t="str">
        <f t="shared" si="8"/>
        <v>CA</v>
      </c>
    </row>
    <row r="234" spans="1:28" ht="18" customHeight="1" x14ac:dyDescent="0.3">
      <c r="A234" s="15" t="s">
        <v>379</v>
      </c>
      <c r="B234" s="16">
        <v>45726</v>
      </c>
      <c r="C234" s="8" t="s">
        <v>144</v>
      </c>
      <c r="D234" s="8" t="s">
        <v>145</v>
      </c>
      <c r="E234" s="8" t="s">
        <v>17</v>
      </c>
      <c r="F234" s="8" t="s">
        <v>18</v>
      </c>
      <c r="G234" s="8" t="s">
        <v>19</v>
      </c>
      <c r="H234" s="17">
        <v>1</v>
      </c>
      <c r="I234" s="17">
        <v>249.99</v>
      </c>
      <c r="J234" s="8" t="s">
        <v>20</v>
      </c>
      <c r="K234" s="8" t="s">
        <v>40</v>
      </c>
      <c r="L234" s="8" t="s">
        <v>36</v>
      </c>
      <c r="M234" s="16">
        <v>45117</v>
      </c>
      <c r="N234" s="18">
        <v>249.99</v>
      </c>
      <c r="V234" s="27">
        <f t="shared" si="7"/>
        <v>26</v>
      </c>
      <c r="AB234" s="27" t="str">
        <f t="shared" si="8"/>
        <v>HM</v>
      </c>
    </row>
    <row r="235" spans="1:28" ht="18" customHeight="1" x14ac:dyDescent="0.3">
      <c r="A235" s="15" t="s">
        <v>380</v>
      </c>
      <c r="B235" s="16">
        <v>45734</v>
      </c>
      <c r="C235" s="8" t="s">
        <v>192</v>
      </c>
      <c r="D235" s="8" t="s">
        <v>193</v>
      </c>
      <c r="E235" s="8" t="s">
        <v>31</v>
      </c>
      <c r="F235" s="8" t="s">
        <v>32</v>
      </c>
      <c r="G235" s="8" t="s">
        <v>33</v>
      </c>
      <c r="H235" s="17">
        <v>2</v>
      </c>
      <c r="I235" s="17">
        <v>59.99</v>
      </c>
      <c r="J235" s="8" t="s">
        <v>26</v>
      </c>
      <c r="K235" s="8" t="s">
        <v>50</v>
      </c>
      <c r="L235" s="8" t="s">
        <v>22</v>
      </c>
      <c r="M235" s="16">
        <v>45193</v>
      </c>
      <c r="N235" s="18">
        <v>119.98</v>
      </c>
      <c r="V235" s="27">
        <f t="shared" si="7"/>
        <v>29</v>
      </c>
      <c r="AB235" s="27" t="str">
        <f t="shared" si="8"/>
        <v>FT</v>
      </c>
    </row>
    <row r="236" spans="1:28" ht="18" customHeight="1" x14ac:dyDescent="0.3">
      <c r="A236" s="15" t="s">
        <v>381</v>
      </c>
      <c r="B236" s="16">
        <v>45737</v>
      </c>
      <c r="C236" s="8" t="s">
        <v>132</v>
      </c>
      <c r="D236" s="8" t="s">
        <v>133</v>
      </c>
      <c r="E236" s="8" t="s">
        <v>44</v>
      </c>
      <c r="F236" s="8" t="s">
        <v>45</v>
      </c>
      <c r="G236" s="8" t="s">
        <v>46</v>
      </c>
      <c r="H236" s="17">
        <v>2</v>
      </c>
      <c r="I236" s="17">
        <v>149.99</v>
      </c>
      <c r="J236" s="8" t="s">
        <v>20</v>
      </c>
      <c r="K236" s="8" t="s">
        <v>50</v>
      </c>
      <c r="L236" s="8" t="s">
        <v>27</v>
      </c>
      <c r="M236" s="16">
        <v>45233</v>
      </c>
      <c r="N236" s="18">
        <v>299.98</v>
      </c>
      <c r="V236" s="27">
        <f t="shared" si="7"/>
        <v>35</v>
      </c>
      <c r="AB236" s="27" t="str">
        <f t="shared" si="8"/>
        <v>EW</v>
      </c>
    </row>
    <row r="237" spans="1:28" ht="18" customHeight="1" x14ac:dyDescent="0.3">
      <c r="A237" s="15" t="s">
        <v>382</v>
      </c>
      <c r="B237" s="16">
        <v>45737</v>
      </c>
      <c r="C237" s="8" t="s">
        <v>150</v>
      </c>
      <c r="D237" s="8" t="s">
        <v>151</v>
      </c>
      <c r="E237" s="8" t="s">
        <v>61</v>
      </c>
      <c r="F237" s="8" t="s">
        <v>62</v>
      </c>
      <c r="G237" s="8" t="s">
        <v>19</v>
      </c>
      <c r="H237" s="17">
        <v>3</v>
      </c>
      <c r="I237" s="17">
        <v>899.99</v>
      </c>
      <c r="J237" s="8" t="s">
        <v>57</v>
      </c>
      <c r="K237" s="8" t="s">
        <v>40</v>
      </c>
      <c r="L237" s="8" t="s">
        <v>27</v>
      </c>
      <c r="M237" s="16">
        <v>44876</v>
      </c>
      <c r="N237" s="18">
        <v>2699.97</v>
      </c>
      <c r="V237" s="27">
        <f t="shared" si="7"/>
        <v>24</v>
      </c>
      <c r="AB237" s="27" t="str">
        <f t="shared" si="8"/>
        <v>SB</v>
      </c>
    </row>
    <row r="238" spans="1:28" ht="18" customHeight="1" x14ac:dyDescent="0.3">
      <c r="A238" s="15" t="s">
        <v>383</v>
      </c>
      <c r="B238" s="16">
        <v>45737</v>
      </c>
      <c r="C238" s="8" t="s">
        <v>48</v>
      </c>
      <c r="D238" s="8" t="s">
        <v>49</v>
      </c>
      <c r="E238" s="8" t="s">
        <v>61</v>
      </c>
      <c r="F238" s="8" t="s">
        <v>62</v>
      </c>
      <c r="G238" s="8" t="s">
        <v>19</v>
      </c>
      <c r="H238" s="17">
        <v>3</v>
      </c>
      <c r="I238" s="17">
        <v>899.99</v>
      </c>
      <c r="J238" s="8" t="s">
        <v>34</v>
      </c>
      <c r="K238" s="8" t="s">
        <v>40</v>
      </c>
      <c r="L238" s="8" t="s">
        <v>22</v>
      </c>
      <c r="M238" s="16">
        <v>44975</v>
      </c>
      <c r="N238" s="18">
        <v>2699.97</v>
      </c>
      <c r="V238" s="27">
        <f t="shared" si="7"/>
        <v>24</v>
      </c>
      <c r="AB238" s="27" t="str">
        <f t="shared" si="8"/>
        <v>DN</v>
      </c>
    </row>
    <row r="239" spans="1:28" ht="18" customHeight="1" x14ac:dyDescent="0.3">
      <c r="A239" s="15" t="s">
        <v>384</v>
      </c>
      <c r="B239" s="16">
        <v>45739</v>
      </c>
      <c r="C239" s="8" t="s">
        <v>15</v>
      </c>
      <c r="D239" s="8" t="s">
        <v>16</v>
      </c>
      <c r="E239" s="8" t="s">
        <v>105</v>
      </c>
      <c r="F239" s="8" t="s">
        <v>106</v>
      </c>
      <c r="G239" s="8" t="s">
        <v>46</v>
      </c>
      <c r="H239" s="17">
        <v>3</v>
      </c>
      <c r="I239" s="17">
        <v>299.99</v>
      </c>
      <c r="J239" s="8" t="s">
        <v>26</v>
      </c>
      <c r="K239" s="8" t="s">
        <v>50</v>
      </c>
      <c r="L239" s="8" t="s">
        <v>27</v>
      </c>
      <c r="M239" s="16">
        <v>45234</v>
      </c>
      <c r="N239" s="18">
        <v>899.97</v>
      </c>
      <c r="V239" s="27">
        <f t="shared" si="7"/>
        <v>26</v>
      </c>
      <c r="AB239" s="27" t="str">
        <f t="shared" si="8"/>
        <v>PB</v>
      </c>
    </row>
    <row r="240" spans="1:28" ht="18" customHeight="1" x14ac:dyDescent="0.3">
      <c r="A240" s="15" t="s">
        <v>385</v>
      </c>
      <c r="B240" s="16">
        <v>45740</v>
      </c>
      <c r="C240" s="8" t="s">
        <v>386</v>
      </c>
      <c r="D240" s="8" t="s">
        <v>387</v>
      </c>
      <c r="E240" s="8" t="s">
        <v>44</v>
      </c>
      <c r="F240" s="8" t="s">
        <v>45</v>
      </c>
      <c r="G240" s="8" t="s">
        <v>46</v>
      </c>
      <c r="H240" s="17">
        <v>4</v>
      </c>
      <c r="I240" s="17">
        <v>149.99</v>
      </c>
      <c r="J240" s="8" t="s">
        <v>34</v>
      </c>
      <c r="K240" s="8" t="s">
        <v>50</v>
      </c>
      <c r="L240" s="8" t="s">
        <v>36</v>
      </c>
      <c r="M240" s="16">
        <v>44560</v>
      </c>
      <c r="N240" s="18">
        <v>599.96</v>
      </c>
      <c r="V240" s="27">
        <f t="shared" si="7"/>
        <v>35</v>
      </c>
      <c r="AB240" s="27" t="str">
        <f t="shared" si="8"/>
        <v>JS</v>
      </c>
    </row>
    <row r="241" spans="1:28" ht="18" customHeight="1" x14ac:dyDescent="0.3">
      <c r="A241" s="15" t="s">
        <v>388</v>
      </c>
      <c r="B241" s="16">
        <v>45743</v>
      </c>
      <c r="C241" s="8" t="s">
        <v>102</v>
      </c>
      <c r="D241" s="8" t="s">
        <v>103</v>
      </c>
      <c r="E241" s="8" t="s">
        <v>114</v>
      </c>
      <c r="F241" s="8" t="s">
        <v>115</v>
      </c>
      <c r="G241" s="8" t="s">
        <v>33</v>
      </c>
      <c r="H241" s="17">
        <v>4</v>
      </c>
      <c r="I241" s="17">
        <v>79.989999999999995</v>
      </c>
      <c r="J241" s="8" t="s">
        <v>26</v>
      </c>
      <c r="K241" s="8" t="s">
        <v>21</v>
      </c>
      <c r="L241" s="8" t="s">
        <v>22</v>
      </c>
      <c r="M241" s="16">
        <v>45288</v>
      </c>
      <c r="N241" s="18">
        <v>319.95999999999998</v>
      </c>
      <c r="V241" s="27">
        <f t="shared" si="7"/>
        <v>14</v>
      </c>
      <c r="AB241" s="27" t="str">
        <f t="shared" si="8"/>
        <v>CP</v>
      </c>
    </row>
    <row r="242" spans="1:28" ht="18" customHeight="1" x14ac:dyDescent="0.3">
      <c r="A242" s="15" t="s">
        <v>389</v>
      </c>
      <c r="B242" s="16">
        <v>45745</v>
      </c>
      <c r="C242" s="8" t="s">
        <v>185</v>
      </c>
      <c r="D242" s="8" t="s">
        <v>186</v>
      </c>
      <c r="E242" s="8" t="s">
        <v>117</v>
      </c>
      <c r="F242" s="8" t="s">
        <v>118</v>
      </c>
      <c r="G242" s="8" t="s">
        <v>19</v>
      </c>
      <c r="H242" s="17">
        <v>5</v>
      </c>
      <c r="I242" s="17">
        <v>89.99</v>
      </c>
      <c r="J242" s="8" t="s">
        <v>34</v>
      </c>
      <c r="K242" s="8" t="s">
        <v>35</v>
      </c>
      <c r="L242" s="8" t="s">
        <v>22</v>
      </c>
      <c r="M242" s="16">
        <v>44704</v>
      </c>
      <c r="N242" s="18">
        <v>449.95</v>
      </c>
      <c r="V242" s="27">
        <f t="shared" si="7"/>
        <v>34</v>
      </c>
      <c r="AB242" s="27" t="str">
        <f t="shared" si="8"/>
        <v>MW</v>
      </c>
    </row>
    <row r="243" spans="1:28" ht="18" customHeight="1" x14ac:dyDescent="0.3">
      <c r="A243" s="15" t="s">
        <v>390</v>
      </c>
      <c r="B243" s="16">
        <v>45746</v>
      </c>
      <c r="C243" s="8" t="s">
        <v>93</v>
      </c>
      <c r="D243" s="8" t="s">
        <v>94</v>
      </c>
      <c r="E243" s="8" t="s">
        <v>44</v>
      </c>
      <c r="F243" s="8" t="s">
        <v>45</v>
      </c>
      <c r="G243" s="8" t="s">
        <v>46</v>
      </c>
      <c r="H243" s="17">
        <v>3</v>
      </c>
      <c r="I243" s="17">
        <v>149.99</v>
      </c>
      <c r="J243" s="8" t="s">
        <v>34</v>
      </c>
      <c r="K243" s="8" t="s">
        <v>21</v>
      </c>
      <c r="L243" s="8" t="s">
        <v>36</v>
      </c>
      <c r="M243" s="16">
        <v>45171</v>
      </c>
      <c r="N243" s="18">
        <v>449.97</v>
      </c>
      <c r="V243" s="27">
        <f t="shared" si="7"/>
        <v>35</v>
      </c>
      <c r="AB243" s="27" t="str">
        <f t="shared" si="8"/>
        <v>VS</v>
      </c>
    </row>
    <row r="244" spans="1:28" ht="18" customHeight="1" x14ac:dyDescent="0.3">
      <c r="A244" s="15" t="s">
        <v>391</v>
      </c>
      <c r="B244" s="16">
        <v>45746</v>
      </c>
      <c r="C244" s="8" t="s">
        <v>65</v>
      </c>
      <c r="D244" s="8" t="s">
        <v>66</v>
      </c>
      <c r="E244" s="8" t="s">
        <v>117</v>
      </c>
      <c r="F244" s="8" t="s">
        <v>118</v>
      </c>
      <c r="G244" s="8" t="s">
        <v>19</v>
      </c>
      <c r="H244" s="17">
        <v>2</v>
      </c>
      <c r="I244" s="17">
        <v>89.99</v>
      </c>
      <c r="J244" s="8" t="s">
        <v>57</v>
      </c>
      <c r="K244" s="8" t="s">
        <v>50</v>
      </c>
      <c r="L244" s="8" t="s">
        <v>27</v>
      </c>
      <c r="M244" s="16">
        <v>44522</v>
      </c>
      <c r="N244" s="18">
        <v>179.98</v>
      </c>
      <c r="V244" s="27">
        <f t="shared" si="7"/>
        <v>34</v>
      </c>
      <c r="AB244" s="27" t="str">
        <f t="shared" si="8"/>
        <v>KH</v>
      </c>
    </row>
    <row r="245" spans="1:28" ht="18" customHeight="1" x14ac:dyDescent="0.3">
      <c r="A245" s="15" t="s">
        <v>392</v>
      </c>
      <c r="B245" s="16">
        <v>45748</v>
      </c>
      <c r="C245" s="8" t="s">
        <v>102</v>
      </c>
      <c r="D245" s="8" t="s">
        <v>103</v>
      </c>
      <c r="E245" s="8" t="s">
        <v>80</v>
      </c>
      <c r="F245" s="8" t="s">
        <v>81</v>
      </c>
      <c r="G245" s="8" t="s">
        <v>19</v>
      </c>
      <c r="H245" s="17">
        <v>2</v>
      </c>
      <c r="I245" s="17">
        <v>699.99</v>
      </c>
      <c r="J245" s="8" t="s">
        <v>34</v>
      </c>
      <c r="K245" s="8" t="s">
        <v>40</v>
      </c>
      <c r="L245" s="8" t="s">
        <v>36</v>
      </c>
      <c r="M245" s="16">
        <v>44618</v>
      </c>
      <c r="N245" s="18">
        <v>1399.98</v>
      </c>
      <c r="V245" s="27">
        <f t="shared" si="7"/>
        <v>30</v>
      </c>
      <c r="AB245" s="27" t="str">
        <f t="shared" si="8"/>
        <v>CP</v>
      </c>
    </row>
    <row r="246" spans="1:28" ht="18" customHeight="1" x14ac:dyDescent="0.3">
      <c r="A246" s="15" t="s">
        <v>393</v>
      </c>
      <c r="B246" s="16">
        <v>45749</v>
      </c>
      <c r="C246" s="8" t="s">
        <v>123</v>
      </c>
      <c r="D246" s="8" t="s">
        <v>124</v>
      </c>
      <c r="E246" s="8" t="s">
        <v>61</v>
      </c>
      <c r="F246" s="8" t="s">
        <v>62</v>
      </c>
      <c r="G246" s="8" t="s">
        <v>19</v>
      </c>
      <c r="H246" s="17">
        <v>3</v>
      </c>
      <c r="I246" s="17">
        <v>899.99</v>
      </c>
      <c r="J246" s="8" t="s">
        <v>20</v>
      </c>
      <c r="K246" s="8" t="s">
        <v>21</v>
      </c>
      <c r="L246" s="8" t="s">
        <v>36</v>
      </c>
      <c r="M246" s="16">
        <v>44953</v>
      </c>
      <c r="N246" s="18">
        <v>2699.97</v>
      </c>
      <c r="V246" s="27">
        <f t="shared" si="7"/>
        <v>24</v>
      </c>
      <c r="AB246" s="27" t="str">
        <f t="shared" si="8"/>
        <v>EM</v>
      </c>
    </row>
    <row r="247" spans="1:28" ht="18" customHeight="1" x14ac:dyDescent="0.3">
      <c r="A247" s="15" t="s">
        <v>394</v>
      </c>
      <c r="B247" s="16">
        <v>45755</v>
      </c>
      <c r="C247" s="8" t="s">
        <v>93</v>
      </c>
      <c r="D247" s="8" t="s">
        <v>94</v>
      </c>
      <c r="E247" s="8" t="s">
        <v>114</v>
      </c>
      <c r="F247" s="8" t="s">
        <v>115</v>
      </c>
      <c r="G247" s="8" t="s">
        <v>33</v>
      </c>
      <c r="H247" s="17">
        <v>3</v>
      </c>
      <c r="I247" s="17">
        <v>79.989999999999995</v>
      </c>
      <c r="J247" s="8" t="s">
        <v>26</v>
      </c>
      <c r="K247" s="8" t="s">
        <v>40</v>
      </c>
      <c r="L247" s="8" t="s">
        <v>22</v>
      </c>
      <c r="M247" s="16">
        <v>44511</v>
      </c>
      <c r="N247" s="18">
        <v>239.97</v>
      </c>
      <c r="V247" s="27">
        <f t="shared" si="7"/>
        <v>14</v>
      </c>
      <c r="AB247" s="27" t="str">
        <f t="shared" si="8"/>
        <v>VS</v>
      </c>
    </row>
    <row r="248" spans="1:28" ht="18" customHeight="1" x14ac:dyDescent="0.3">
      <c r="A248" s="15" t="s">
        <v>395</v>
      </c>
      <c r="B248" s="16">
        <v>45756</v>
      </c>
      <c r="C248" s="8" t="s">
        <v>59</v>
      </c>
      <c r="D248" s="8" t="s">
        <v>60</v>
      </c>
      <c r="E248" s="8" t="s">
        <v>117</v>
      </c>
      <c r="F248" s="8" t="s">
        <v>118</v>
      </c>
      <c r="G248" s="8" t="s">
        <v>19</v>
      </c>
      <c r="H248" s="17">
        <v>1</v>
      </c>
      <c r="I248" s="17">
        <v>89.99</v>
      </c>
      <c r="J248" s="8" t="s">
        <v>57</v>
      </c>
      <c r="K248" s="8" t="s">
        <v>63</v>
      </c>
      <c r="L248" s="8" t="s">
        <v>22</v>
      </c>
      <c r="M248" s="16">
        <v>45346</v>
      </c>
      <c r="N248" s="18">
        <v>89.99</v>
      </c>
      <c r="V248" s="27">
        <f t="shared" si="7"/>
        <v>34</v>
      </c>
      <c r="AB248" s="27" t="str">
        <f t="shared" si="8"/>
        <v>RT</v>
      </c>
    </row>
    <row r="249" spans="1:28" ht="18" customHeight="1" x14ac:dyDescent="0.3">
      <c r="A249" s="15" t="s">
        <v>396</v>
      </c>
      <c r="B249" s="16">
        <v>45758</v>
      </c>
      <c r="C249" s="8" t="s">
        <v>293</v>
      </c>
      <c r="D249" s="8" t="s">
        <v>294</v>
      </c>
      <c r="E249" s="8" t="s">
        <v>80</v>
      </c>
      <c r="F249" s="8" t="s">
        <v>81</v>
      </c>
      <c r="G249" s="8" t="s">
        <v>19</v>
      </c>
      <c r="H249" s="17">
        <v>3</v>
      </c>
      <c r="I249" s="17">
        <v>699.99</v>
      </c>
      <c r="J249" s="8" t="s">
        <v>34</v>
      </c>
      <c r="K249" s="8" t="s">
        <v>40</v>
      </c>
      <c r="L249" s="8" t="s">
        <v>22</v>
      </c>
      <c r="M249" s="16">
        <v>44909</v>
      </c>
      <c r="N249" s="18">
        <v>2099.9699999999998</v>
      </c>
      <c r="V249" s="27">
        <f t="shared" si="7"/>
        <v>30</v>
      </c>
      <c r="AB249" s="27" t="str">
        <f t="shared" si="8"/>
        <v>DW</v>
      </c>
    </row>
    <row r="250" spans="1:28" ht="18" customHeight="1" x14ac:dyDescent="0.3">
      <c r="A250" s="15" t="s">
        <v>397</v>
      </c>
      <c r="B250" s="16">
        <v>45758</v>
      </c>
      <c r="C250" s="8" t="s">
        <v>226</v>
      </c>
      <c r="D250" s="8" t="s">
        <v>227</v>
      </c>
      <c r="E250" s="8" t="s">
        <v>117</v>
      </c>
      <c r="F250" s="8" t="s">
        <v>118</v>
      </c>
      <c r="G250" s="8" t="s">
        <v>19</v>
      </c>
      <c r="H250" s="17">
        <v>2</v>
      </c>
      <c r="I250" s="17">
        <v>89.99</v>
      </c>
      <c r="J250" s="8" t="s">
        <v>57</v>
      </c>
      <c r="K250" s="8" t="s">
        <v>63</v>
      </c>
      <c r="L250" s="8" t="s">
        <v>22</v>
      </c>
      <c r="M250" s="16">
        <v>45088</v>
      </c>
      <c r="N250" s="18">
        <v>179.98</v>
      </c>
      <c r="V250" s="27">
        <f t="shared" si="7"/>
        <v>34</v>
      </c>
      <c r="AB250" s="27" t="str">
        <f t="shared" si="8"/>
        <v>LR</v>
      </c>
    </row>
    <row r="251" spans="1:28" ht="18" customHeight="1" x14ac:dyDescent="0.3">
      <c r="A251" s="19" t="s">
        <v>398</v>
      </c>
      <c r="B251" s="20">
        <v>45758</v>
      </c>
      <c r="C251" s="21" t="s">
        <v>138</v>
      </c>
      <c r="D251" s="21" t="s">
        <v>139</v>
      </c>
      <c r="E251" s="21" t="s">
        <v>117</v>
      </c>
      <c r="F251" s="21" t="s">
        <v>118</v>
      </c>
      <c r="G251" s="21" t="s">
        <v>19</v>
      </c>
      <c r="H251" s="22">
        <v>3</v>
      </c>
      <c r="I251" s="22">
        <v>89.99</v>
      </c>
      <c r="J251" s="21" t="s">
        <v>57</v>
      </c>
      <c r="K251" s="21" t="s">
        <v>40</v>
      </c>
      <c r="L251" s="21" t="s">
        <v>27</v>
      </c>
      <c r="M251" s="20">
        <v>44878</v>
      </c>
      <c r="N251" s="23">
        <v>269.97000000000003</v>
      </c>
      <c r="V251" s="27">
        <f t="shared" si="7"/>
        <v>34</v>
      </c>
      <c r="AB251" s="27" t="str">
        <f t="shared" si="8"/>
        <v>ST</v>
      </c>
    </row>
  </sheetData>
  <scenarios current="1">
    <scenario name="Pri_150" locked="1" count="1" user="admin" comment="Created by admin on 17-02-2026">
      <inputCells r="R3" val="150"/>
    </scenario>
    <scenario name="Pri_2" locked="1" count="1" user="admin" comment="Created by admin on 17-02-2026">
      <inputCells r="R3" val="250"/>
    </scenario>
  </scenarios>
  <mergeCells count="4">
    <mergeCell ref="Q1:R1"/>
    <mergeCell ref="Q9:R9"/>
    <mergeCell ref="W1:X1"/>
    <mergeCell ref="W2:X2"/>
  </mergeCells>
  <pageMargins left="0.7" right="0.7" top="0.75" bottom="0.75" header="0.3" footer="0.3"/>
  <pageSetup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iconSet" priority="2" id="{0A4940E4-4D39-4164-A527-9AFF53D2DF4B}">
            <x14:iconSet iconSet="3Arrows" custom="1">
              <x14:cfvo type="percent">
                <xm:f>0</xm:f>
              </x14:cfvo>
              <x14:cfvo type="num">
                <xm:f>500</xm:f>
              </x14:cfvo>
              <x14:cfvo type="num">
                <xm:f>500</xm:f>
              </x14:cfvo>
              <x14:cfIcon iconSet="3Arrows" iconId="0"/>
              <x14:cfIcon iconSet="NoIcons" iconId="0"/>
              <x14:cfIcon iconSet="3Arrows" iconId="2"/>
            </x14:iconSet>
          </x14:cfRule>
          <xm:sqref>I2:I251</xm:sqref>
        </x14:conditionalFormatting>
        <x14:conditionalFormatting xmlns:xm="http://schemas.microsoft.com/office/excel/2006/main">
          <x14:cfRule type="iconSet" priority="1" id="{3BADA70A-C1F2-4174-AE1A-20CD8B485B73}">
            <x14:iconSet custom="1">
              <x14:cfvo type="percent">
                <xm:f>0</xm:f>
              </x14:cfvo>
              <x14:cfvo type="num">
                <xm:f>700</xm:f>
              </x14:cfvo>
              <x14:cfvo type="num">
                <xm:f>700</xm:f>
              </x14:cfvo>
              <x14:cfIcon iconSet="3TrafficLights1" iconId="0"/>
              <x14:cfIcon iconSet="NoIcons" iconId="0"/>
              <x14:cfIcon iconSet="3TrafficLights1" iconId="2"/>
            </x14:iconSet>
          </x14:cfRule>
          <xm:sqref>N2:N251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5FC03E-7982-42EE-9118-D1A0AB036874}">
  <dimension ref="A1:C51"/>
  <sheetViews>
    <sheetView workbookViewId="0">
      <selection activeCell="C2" sqref="C2"/>
    </sheetView>
  </sheetViews>
  <sheetFormatPr defaultColWidth="16.44140625" defaultRowHeight="14.4" customHeight="1" x14ac:dyDescent="0.3"/>
  <cols>
    <col min="3" max="3" width="18.109375" customWidth="1"/>
  </cols>
  <sheetData>
    <row r="1" spans="1:3" ht="14.4" customHeight="1" x14ac:dyDescent="0.3">
      <c r="A1" s="32" t="s">
        <v>3</v>
      </c>
      <c r="B1" s="33" t="s">
        <v>442</v>
      </c>
      <c r="C1" s="33" t="s">
        <v>443</v>
      </c>
    </row>
    <row r="2" spans="1:3" ht="14.4" customHeight="1" x14ac:dyDescent="0.3">
      <c r="A2" s="28" t="s">
        <v>16</v>
      </c>
      <c r="B2" s="27">
        <f>SUMIFS(Dataset!$N:$N,Dataset!$D:$D,A2)</f>
        <v>8309.739999999998</v>
      </c>
      <c r="C2" s="27" t="str">
        <f>IF(B2&gt;=10000,"High Value","Normal")</f>
        <v>Normal</v>
      </c>
    </row>
    <row r="3" spans="1:3" ht="14.4" customHeight="1" x14ac:dyDescent="0.3">
      <c r="A3" s="28" t="s">
        <v>25</v>
      </c>
      <c r="B3" s="27">
        <f>SUMIFS(Dataset!$N:$N,Dataset!$D:$D,A3)</f>
        <v>6949.84</v>
      </c>
      <c r="C3" s="27" t="str">
        <f t="shared" ref="C3:C51" si="0">IF(B3&gt;=10000,"High Value","Normal")</f>
        <v>Normal</v>
      </c>
    </row>
    <row r="4" spans="1:3" ht="14.4" customHeight="1" x14ac:dyDescent="0.3">
      <c r="A4" s="28" t="s">
        <v>30</v>
      </c>
      <c r="B4" s="27">
        <f>SUMIFS(Dataset!$N:$N,Dataset!$D:$D,A4)</f>
        <v>3259.87</v>
      </c>
      <c r="C4" s="27" t="str">
        <f t="shared" si="0"/>
        <v>Normal</v>
      </c>
    </row>
    <row r="5" spans="1:3" ht="14.4" customHeight="1" x14ac:dyDescent="0.3">
      <c r="A5" s="28" t="s">
        <v>39</v>
      </c>
      <c r="B5" s="27">
        <f>SUMIFS(Dataset!$N:$N,Dataset!$D:$D,A5)</f>
        <v>4309.8099999999995</v>
      </c>
      <c r="C5" s="27" t="str">
        <f t="shared" si="0"/>
        <v>Normal</v>
      </c>
    </row>
    <row r="6" spans="1:3" ht="14.4" customHeight="1" x14ac:dyDescent="0.3">
      <c r="A6" s="28" t="s">
        <v>43</v>
      </c>
      <c r="B6" s="27">
        <f>SUMIFS(Dataset!$N:$N,Dataset!$D:$D,A6)</f>
        <v>6169.7400000000007</v>
      </c>
      <c r="C6" s="27" t="str">
        <f t="shared" si="0"/>
        <v>Normal</v>
      </c>
    </row>
    <row r="7" spans="1:3" ht="14.4" customHeight="1" x14ac:dyDescent="0.3">
      <c r="A7" s="28" t="s">
        <v>49</v>
      </c>
      <c r="B7" s="27">
        <f>SUMIFS(Dataset!$N:$N,Dataset!$D:$D,A7)</f>
        <v>8269.7900000000009</v>
      </c>
      <c r="C7" s="27" t="str">
        <f t="shared" si="0"/>
        <v>Normal</v>
      </c>
    </row>
    <row r="8" spans="1:3" ht="14.4" customHeight="1" x14ac:dyDescent="0.3">
      <c r="A8" s="28" t="s">
        <v>56</v>
      </c>
      <c r="B8" s="27">
        <f>SUMIFS(Dataset!$N:$N,Dataset!$D:$D,A8)</f>
        <v>5089.7300000000005</v>
      </c>
      <c r="C8" s="27" t="str">
        <f t="shared" si="0"/>
        <v>Normal</v>
      </c>
    </row>
    <row r="9" spans="1:3" ht="14.4" customHeight="1" x14ac:dyDescent="0.3">
      <c r="A9" s="28" t="s">
        <v>60</v>
      </c>
      <c r="B9" s="27">
        <f>SUMIFS(Dataset!$N:$N,Dataset!$D:$D,A9)</f>
        <v>3509.8999999999996</v>
      </c>
      <c r="C9" s="27" t="str">
        <f t="shared" si="0"/>
        <v>Normal</v>
      </c>
    </row>
    <row r="10" spans="1:3" ht="14.4" customHeight="1" x14ac:dyDescent="0.3">
      <c r="A10" s="28" t="s">
        <v>66</v>
      </c>
      <c r="B10" s="27">
        <f>SUMIFS(Dataset!$N:$N,Dataset!$D:$D,A10)</f>
        <v>8009.7699999999995</v>
      </c>
      <c r="C10" s="27" t="str">
        <f t="shared" si="0"/>
        <v>Normal</v>
      </c>
    </row>
    <row r="11" spans="1:3" ht="14.4" customHeight="1" x14ac:dyDescent="0.3">
      <c r="A11" s="28" t="s">
        <v>69</v>
      </c>
      <c r="B11" s="27">
        <f>SUMIFS(Dataset!$N:$N,Dataset!$D:$D,A11)</f>
        <v>1979.89</v>
      </c>
      <c r="C11" s="27" t="str">
        <f t="shared" si="0"/>
        <v>Normal</v>
      </c>
    </row>
    <row r="12" spans="1:3" ht="14.4" customHeight="1" x14ac:dyDescent="0.3">
      <c r="A12" s="28" t="s">
        <v>73</v>
      </c>
      <c r="B12" s="27">
        <f>SUMIFS(Dataset!$N:$N,Dataset!$D:$D,A12)</f>
        <v>5949.85</v>
      </c>
      <c r="C12" s="27" t="str">
        <f t="shared" si="0"/>
        <v>Normal</v>
      </c>
    </row>
    <row r="13" spans="1:3" ht="14.4" customHeight="1" x14ac:dyDescent="0.3">
      <c r="A13" s="28" t="s">
        <v>76</v>
      </c>
      <c r="B13" s="27">
        <f>SUMIFS(Dataset!$N:$N,Dataset!$D:$D,A13)</f>
        <v>479.91999999999996</v>
      </c>
      <c r="C13" s="27" t="str">
        <f t="shared" si="0"/>
        <v>Normal</v>
      </c>
    </row>
    <row r="14" spans="1:3" ht="14.4" customHeight="1" x14ac:dyDescent="0.3">
      <c r="A14" s="28" t="s">
        <v>79</v>
      </c>
      <c r="B14" s="27">
        <f>SUMIFS(Dataset!$N:$N,Dataset!$D:$D,A14)</f>
        <v>4199.9399999999996</v>
      </c>
      <c r="C14" s="27" t="str">
        <f t="shared" si="0"/>
        <v>Normal</v>
      </c>
    </row>
    <row r="15" spans="1:3" ht="14.4" customHeight="1" x14ac:dyDescent="0.3">
      <c r="A15" s="28" t="s">
        <v>84</v>
      </c>
      <c r="B15" s="27">
        <f>SUMIFS(Dataset!$N:$N,Dataset!$D:$D,A15)</f>
        <v>3779.93</v>
      </c>
      <c r="C15" s="27" t="str">
        <f t="shared" si="0"/>
        <v>Normal</v>
      </c>
    </row>
    <row r="16" spans="1:3" ht="14.4" customHeight="1" x14ac:dyDescent="0.3">
      <c r="A16" s="28" t="s">
        <v>87</v>
      </c>
      <c r="B16" s="27">
        <f>SUMIFS(Dataset!$N:$N,Dataset!$D:$D,A16)</f>
        <v>15659.65</v>
      </c>
      <c r="C16" s="27" t="str">
        <f t="shared" si="0"/>
        <v>High Value</v>
      </c>
    </row>
    <row r="17" spans="1:3" ht="14.4" customHeight="1" x14ac:dyDescent="0.3">
      <c r="A17" s="28" t="s">
        <v>90</v>
      </c>
      <c r="B17" s="27">
        <f>SUMIFS(Dataset!$N:$N,Dataset!$D:$D,A17)</f>
        <v>1909.93</v>
      </c>
      <c r="C17" s="27" t="str">
        <f t="shared" si="0"/>
        <v>Normal</v>
      </c>
    </row>
    <row r="18" spans="1:3" ht="14.4" customHeight="1" x14ac:dyDescent="0.3">
      <c r="A18" s="28" t="s">
        <v>94</v>
      </c>
      <c r="B18" s="27">
        <f>SUMIFS(Dataset!$N:$N,Dataset!$D:$D,A18)</f>
        <v>4789.7900000000009</v>
      </c>
      <c r="C18" s="27" t="str">
        <f t="shared" si="0"/>
        <v>Normal</v>
      </c>
    </row>
    <row r="19" spans="1:3" ht="14.4" customHeight="1" x14ac:dyDescent="0.3">
      <c r="A19" s="28" t="s">
        <v>97</v>
      </c>
      <c r="B19" s="27">
        <f>SUMIFS(Dataset!$N:$N,Dataset!$D:$D,A19)</f>
        <v>10649.8</v>
      </c>
      <c r="C19" s="27" t="str">
        <f t="shared" si="0"/>
        <v>High Value</v>
      </c>
    </row>
    <row r="20" spans="1:3" ht="14.4" customHeight="1" x14ac:dyDescent="0.3">
      <c r="A20" s="28" t="s">
        <v>100</v>
      </c>
      <c r="B20" s="27">
        <f>SUMIFS(Dataset!$N:$N,Dataset!$D:$D,A20)</f>
        <v>9799.73</v>
      </c>
      <c r="C20" s="27" t="str">
        <f t="shared" si="0"/>
        <v>Normal</v>
      </c>
    </row>
    <row r="21" spans="1:3" ht="14.4" customHeight="1" x14ac:dyDescent="0.3">
      <c r="A21" s="28" t="s">
        <v>103</v>
      </c>
      <c r="B21" s="27">
        <f>SUMIFS(Dataset!$N:$N,Dataset!$D:$D,A21)</f>
        <v>3769.8300000000004</v>
      </c>
      <c r="C21" s="27" t="str">
        <f t="shared" si="0"/>
        <v>Normal</v>
      </c>
    </row>
    <row r="22" spans="1:3" ht="14.4" customHeight="1" x14ac:dyDescent="0.3">
      <c r="A22" s="28" t="s">
        <v>109</v>
      </c>
      <c r="B22" s="27">
        <f>SUMIFS(Dataset!$N:$N,Dataset!$D:$D,A22)</f>
        <v>4189.7700000000004</v>
      </c>
      <c r="C22" s="27" t="str">
        <f t="shared" si="0"/>
        <v>Normal</v>
      </c>
    </row>
    <row r="23" spans="1:3" ht="14.4" customHeight="1" x14ac:dyDescent="0.3">
      <c r="A23" s="28" t="s">
        <v>113</v>
      </c>
      <c r="B23" s="27">
        <f>SUMIFS(Dataset!$N:$N,Dataset!$D:$D,A23)</f>
        <v>1289.9000000000001</v>
      </c>
      <c r="C23" s="27" t="str">
        <f t="shared" si="0"/>
        <v>Normal</v>
      </c>
    </row>
    <row r="24" spans="1:3" ht="14.4" customHeight="1" x14ac:dyDescent="0.3">
      <c r="A24" s="28" t="s">
        <v>121</v>
      </c>
      <c r="B24" s="27">
        <f>SUMIFS(Dataset!$N:$N,Dataset!$D:$D,A24)</f>
        <v>6459.79</v>
      </c>
      <c r="C24" s="27" t="str">
        <f t="shared" si="0"/>
        <v>Normal</v>
      </c>
    </row>
    <row r="25" spans="1:3" ht="14.4" customHeight="1" x14ac:dyDescent="0.3">
      <c r="A25" s="28" t="s">
        <v>124</v>
      </c>
      <c r="B25" s="27">
        <f>SUMIFS(Dataset!$N:$N,Dataset!$D:$D,A25)</f>
        <v>11919.769999999999</v>
      </c>
      <c r="C25" s="27" t="str">
        <f t="shared" si="0"/>
        <v>High Value</v>
      </c>
    </row>
    <row r="26" spans="1:3" ht="14.4" customHeight="1" x14ac:dyDescent="0.3">
      <c r="A26" s="28" t="s">
        <v>130</v>
      </c>
      <c r="B26" s="27">
        <f>SUMIFS(Dataset!$N:$N,Dataset!$D:$D,A26)</f>
        <v>2039.8000000000002</v>
      </c>
      <c r="C26" s="27" t="str">
        <f t="shared" si="0"/>
        <v>Normal</v>
      </c>
    </row>
    <row r="27" spans="1:3" ht="14.4" customHeight="1" x14ac:dyDescent="0.3">
      <c r="A27" s="28" t="s">
        <v>133</v>
      </c>
      <c r="B27" s="27">
        <f>SUMIFS(Dataset!$N:$N,Dataset!$D:$D,A27)</f>
        <v>1229.8800000000001</v>
      </c>
      <c r="C27" s="27" t="str">
        <f t="shared" si="0"/>
        <v>Normal</v>
      </c>
    </row>
    <row r="28" spans="1:3" ht="14.4" customHeight="1" x14ac:dyDescent="0.3">
      <c r="A28" s="28" t="s">
        <v>139</v>
      </c>
      <c r="B28" s="27">
        <f>SUMIFS(Dataset!$N:$N,Dataset!$D:$D,A28)</f>
        <v>2649.83</v>
      </c>
      <c r="C28" s="27" t="str">
        <f t="shared" si="0"/>
        <v>Normal</v>
      </c>
    </row>
    <row r="29" spans="1:3" ht="14.4" customHeight="1" x14ac:dyDescent="0.3">
      <c r="A29" s="28" t="s">
        <v>142</v>
      </c>
      <c r="B29" s="27">
        <f>SUMIFS(Dataset!$N:$N,Dataset!$D:$D,A29)</f>
        <v>4739.8500000000004</v>
      </c>
      <c r="C29" s="27" t="str">
        <f t="shared" si="0"/>
        <v>Normal</v>
      </c>
    </row>
    <row r="30" spans="1:3" ht="14.4" customHeight="1" x14ac:dyDescent="0.3">
      <c r="A30" s="28" t="s">
        <v>145</v>
      </c>
      <c r="B30" s="27">
        <f>SUMIFS(Dataset!$N:$N,Dataset!$D:$D,A30)</f>
        <v>5519.8899999999994</v>
      </c>
      <c r="C30" s="27" t="str">
        <f t="shared" si="0"/>
        <v>Normal</v>
      </c>
    </row>
    <row r="31" spans="1:3" ht="14.4" customHeight="1" x14ac:dyDescent="0.3">
      <c r="A31" s="28" t="s">
        <v>148</v>
      </c>
      <c r="B31" s="27">
        <f>SUMIFS(Dataset!$N:$N,Dataset!$D:$D,A31)</f>
        <v>7309.7999999999993</v>
      </c>
      <c r="C31" s="27" t="str">
        <f t="shared" si="0"/>
        <v>Normal</v>
      </c>
    </row>
    <row r="32" spans="1:3" ht="14.4" customHeight="1" x14ac:dyDescent="0.3">
      <c r="A32" s="28" t="s">
        <v>151</v>
      </c>
      <c r="B32" s="27">
        <f>SUMIFS(Dataset!$N:$N,Dataset!$D:$D,A32)</f>
        <v>5619.869999999999</v>
      </c>
      <c r="C32" s="27" t="str">
        <f t="shared" si="0"/>
        <v>Normal</v>
      </c>
    </row>
    <row r="33" spans="1:3" ht="14.4" customHeight="1" x14ac:dyDescent="0.3">
      <c r="A33" s="28" t="s">
        <v>155</v>
      </c>
      <c r="B33" s="27">
        <f>SUMIFS(Dataset!$N:$N,Dataset!$D:$D,A33)</f>
        <v>5499.8099999999995</v>
      </c>
      <c r="C33" s="27" t="str">
        <f t="shared" si="0"/>
        <v>Normal</v>
      </c>
    </row>
    <row r="34" spans="1:3" ht="14.4" customHeight="1" x14ac:dyDescent="0.3">
      <c r="A34" s="28" t="s">
        <v>159</v>
      </c>
      <c r="B34" s="27">
        <f>SUMIFS(Dataset!$N:$N,Dataset!$D:$D,A34)</f>
        <v>5649.84</v>
      </c>
      <c r="C34" s="27" t="str">
        <f t="shared" si="0"/>
        <v>Normal</v>
      </c>
    </row>
    <row r="35" spans="1:3" ht="14.4" customHeight="1" x14ac:dyDescent="0.3">
      <c r="A35" s="28" t="s">
        <v>163</v>
      </c>
      <c r="B35" s="27">
        <f>SUMIFS(Dataset!$N:$N,Dataset!$D:$D,A35)</f>
        <v>239.96</v>
      </c>
      <c r="C35" s="27" t="str">
        <f t="shared" si="0"/>
        <v>Normal</v>
      </c>
    </row>
    <row r="36" spans="1:3" ht="14.4" customHeight="1" x14ac:dyDescent="0.3">
      <c r="A36" s="28" t="s">
        <v>172</v>
      </c>
      <c r="B36" s="27">
        <f>SUMIFS(Dataset!$N:$N,Dataset!$D:$D,A36)</f>
        <v>3669.8500000000004</v>
      </c>
      <c r="C36" s="27" t="str">
        <f t="shared" si="0"/>
        <v>Normal</v>
      </c>
    </row>
    <row r="37" spans="1:3" ht="14.4" customHeight="1" x14ac:dyDescent="0.3">
      <c r="A37" s="28" t="s">
        <v>183</v>
      </c>
      <c r="B37" s="27">
        <f>SUMIFS(Dataset!$N:$N,Dataset!$D:$D,A37)</f>
        <v>1809.84</v>
      </c>
      <c r="C37" s="27" t="str">
        <f t="shared" si="0"/>
        <v>Normal</v>
      </c>
    </row>
    <row r="38" spans="1:3" ht="14.4" customHeight="1" x14ac:dyDescent="0.3">
      <c r="A38" s="28" t="s">
        <v>186</v>
      </c>
      <c r="B38" s="27">
        <f>SUMIFS(Dataset!$N:$N,Dataset!$D:$D,A38)</f>
        <v>2099.88</v>
      </c>
      <c r="C38" s="27" t="str">
        <f t="shared" si="0"/>
        <v>Normal</v>
      </c>
    </row>
    <row r="39" spans="1:3" ht="14.4" customHeight="1" x14ac:dyDescent="0.3">
      <c r="A39" s="28" t="s">
        <v>193</v>
      </c>
      <c r="B39" s="27">
        <f>SUMIFS(Dataset!$N:$N,Dataset!$D:$D,A39)</f>
        <v>1479.91</v>
      </c>
      <c r="C39" s="27" t="str">
        <f t="shared" si="0"/>
        <v>Normal</v>
      </c>
    </row>
    <row r="40" spans="1:3" ht="14.4" customHeight="1" x14ac:dyDescent="0.3">
      <c r="A40" s="28" t="s">
        <v>197</v>
      </c>
      <c r="B40" s="27">
        <f>SUMIFS(Dataset!$N:$N,Dataset!$D:$D,A40)</f>
        <v>6379.87</v>
      </c>
      <c r="C40" s="27" t="str">
        <f t="shared" si="0"/>
        <v>Normal</v>
      </c>
    </row>
    <row r="41" spans="1:3" ht="14.4" customHeight="1" x14ac:dyDescent="0.3">
      <c r="A41" s="28" t="s">
        <v>212</v>
      </c>
      <c r="B41" s="27">
        <f>SUMIFS(Dataset!$N:$N,Dataset!$D:$D,A41)</f>
        <v>3649.8599999999997</v>
      </c>
      <c r="C41" s="27" t="str">
        <f t="shared" si="0"/>
        <v>Normal</v>
      </c>
    </row>
    <row r="42" spans="1:3" ht="14.4" customHeight="1" x14ac:dyDescent="0.3">
      <c r="A42" s="28" t="s">
        <v>227</v>
      </c>
      <c r="B42" s="27">
        <f>SUMIFS(Dataset!$N:$N,Dataset!$D:$D,A42)</f>
        <v>6989.7699999999986</v>
      </c>
      <c r="C42" s="27" t="str">
        <f t="shared" si="0"/>
        <v>Normal</v>
      </c>
    </row>
    <row r="43" spans="1:3" ht="14.4" customHeight="1" x14ac:dyDescent="0.3">
      <c r="A43" s="28" t="s">
        <v>232</v>
      </c>
      <c r="B43" s="27">
        <f>SUMIFS(Dataset!$N:$N,Dataset!$D:$D,A43)</f>
        <v>1149.93</v>
      </c>
      <c r="C43" s="27" t="str">
        <f t="shared" si="0"/>
        <v>Normal</v>
      </c>
    </row>
    <row r="44" spans="1:3" ht="14.4" customHeight="1" x14ac:dyDescent="0.3">
      <c r="A44" s="28" t="s">
        <v>235</v>
      </c>
      <c r="B44" s="27">
        <f>SUMIFS(Dataset!$N:$N,Dataset!$D:$D,A44)</f>
        <v>6349.83</v>
      </c>
      <c r="C44" s="27" t="str">
        <f t="shared" si="0"/>
        <v>Normal</v>
      </c>
    </row>
    <row r="45" spans="1:3" ht="14.4" customHeight="1" x14ac:dyDescent="0.3">
      <c r="A45" s="28" t="s">
        <v>247</v>
      </c>
      <c r="B45" s="27">
        <f>SUMIFS(Dataset!$N:$N,Dataset!$D:$D,A45)</f>
        <v>1749.92</v>
      </c>
      <c r="C45" s="27" t="str">
        <f t="shared" si="0"/>
        <v>Normal</v>
      </c>
    </row>
    <row r="46" spans="1:3" ht="14.4" customHeight="1" x14ac:dyDescent="0.3">
      <c r="A46" s="28" t="s">
        <v>253</v>
      </c>
      <c r="B46" s="27">
        <f>SUMIFS(Dataset!$N:$N,Dataset!$D:$D,A46)</f>
        <v>4749.91</v>
      </c>
      <c r="C46" s="27" t="str">
        <f t="shared" si="0"/>
        <v>Normal</v>
      </c>
    </row>
    <row r="47" spans="1:3" ht="14.4" customHeight="1" x14ac:dyDescent="0.3">
      <c r="A47" s="28" t="s">
        <v>260</v>
      </c>
      <c r="B47" s="27">
        <f>SUMIFS(Dataset!$N:$N,Dataset!$D:$D,A47)</f>
        <v>739.93000000000006</v>
      </c>
      <c r="C47" s="27" t="str">
        <f t="shared" si="0"/>
        <v>Normal</v>
      </c>
    </row>
    <row r="48" spans="1:3" ht="14.4" customHeight="1" x14ac:dyDescent="0.3">
      <c r="A48" s="28" t="s">
        <v>294</v>
      </c>
      <c r="B48" s="27">
        <f>SUMIFS(Dataset!$N:$N,Dataset!$D:$D,A48)</f>
        <v>4829.8899999999994</v>
      </c>
      <c r="C48" s="27" t="str">
        <f t="shared" si="0"/>
        <v>Normal</v>
      </c>
    </row>
    <row r="49" spans="1:3" ht="14.4" customHeight="1" x14ac:dyDescent="0.3">
      <c r="A49" s="28" t="s">
        <v>305</v>
      </c>
      <c r="B49" s="27">
        <f>SUMIFS(Dataset!$N:$N,Dataset!$D:$D,A49)</f>
        <v>179.97</v>
      </c>
      <c r="C49" s="27" t="str">
        <f t="shared" si="0"/>
        <v>Normal</v>
      </c>
    </row>
    <row r="50" spans="1:3" ht="14.4" customHeight="1" x14ac:dyDescent="0.3">
      <c r="A50" s="28" t="s">
        <v>326</v>
      </c>
      <c r="B50" s="27">
        <f>SUMIFS(Dataset!$N:$N,Dataset!$D:$D,A50)</f>
        <v>1559.94</v>
      </c>
      <c r="C50" s="27" t="str">
        <f t="shared" si="0"/>
        <v>Normal</v>
      </c>
    </row>
    <row r="51" spans="1:3" ht="14.4" customHeight="1" x14ac:dyDescent="0.3">
      <c r="A51" s="28" t="s">
        <v>387</v>
      </c>
      <c r="B51" s="27">
        <f>SUMIFS(Dataset!$N:$N,Dataset!$D:$D,A51)</f>
        <v>599.96</v>
      </c>
      <c r="C51" s="27" t="str">
        <f t="shared" si="0"/>
        <v>Normal</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60E4F9-0257-42D5-8C43-DA6D422ECDF1}">
  <dimension ref="A3:F55"/>
  <sheetViews>
    <sheetView workbookViewId="0">
      <selection activeCell="F12" sqref="F12"/>
    </sheetView>
  </sheetViews>
  <sheetFormatPr defaultRowHeight="14.4" x14ac:dyDescent="0.3"/>
  <cols>
    <col min="1" max="1" width="15.109375" bestFit="1" customWidth="1"/>
    <col min="2" max="2" width="19.77734375" bestFit="1" customWidth="1"/>
    <col min="3" max="3" width="12.5546875" bestFit="1" customWidth="1"/>
    <col min="4" max="4" width="19.77734375" bestFit="1" customWidth="1"/>
    <col min="5" max="5" width="12.5546875" bestFit="1" customWidth="1"/>
    <col min="6" max="6" width="19.77734375" bestFit="1" customWidth="1"/>
  </cols>
  <sheetData>
    <row r="3" spans="1:6" x14ac:dyDescent="0.3">
      <c r="A3" s="40" t="s">
        <v>439</v>
      </c>
      <c r="B3" s="41"/>
      <c r="C3" s="40" t="s">
        <v>440</v>
      </c>
      <c r="D3" s="41"/>
      <c r="E3" s="40" t="s">
        <v>441</v>
      </c>
      <c r="F3" s="41"/>
    </row>
    <row r="4" spans="1:6" x14ac:dyDescent="0.3">
      <c r="A4" s="5" t="s">
        <v>436</v>
      </c>
      <c r="B4" t="s">
        <v>438</v>
      </c>
      <c r="C4" s="5" t="s">
        <v>436</v>
      </c>
      <c r="D4" t="s">
        <v>438</v>
      </c>
      <c r="E4" s="5" t="s">
        <v>436</v>
      </c>
      <c r="F4" t="s">
        <v>438</v>
      </c>
    </row>
    <row r="5" spans="1:6" x14ac:dyDescent="0.3">
      <c r="A5" s="6" t="s">
        <v>326</v>
      </c>
      <c r="B5" s="7">
        <v>1559.94</v>
      </c>
      <c r="C5" s="6" t="s">
        <v>21</v>
      </c>
      <c r="D5" s="7">
        <v>41288.340000000018</v>
      </c>
      <c r="E5" s="6" t="s">
        <v>33</v>
      </c>
      <c r="F5" s="7">
        <v>8338.7399999999961</v>
      </c>
    </row>
    <row r="6" spans="1:6" x14ac:dyDescent="0.3">
      <c r="A6" s="6" t="s">
        <v>97</v>
      </c>
      <c r="B6" s="7">
        <v>10649.8</v>
      </c>
      <c r="C6" s="6" t="s">
        <v>63</v>
      </c>
      <c r="D6" s="7">
        <v>59288.389999999992</v>
      </c>
      <c r="E6" s="6" t="s">
        <v>19</v>
      </c>
      <c r="F6" s="7">
        <v>171756.05000000013</v>
      </c>
    </row>
    <row r="7" spans="1:6" x14ac:dyDescent="0.3">
      <c r="A7" s="6" t="s">
        <v>159</v>
      </c>
      <c r="B7" s="7">
        <v>5649.84</v>
      </c>
      <c r="C7" s="6" t="s">
        <v>40</v>
      </c>
      <c r="D7" s="7">
        <v>50808.310000000012</v>
      </c>
      <c r="E7" s="6" t="s">
        <v>46</v>
      </c>
      <c r="F7" s="7">
        <v>49097.680000000015</v>
      </c>
    </row>
    <row r="8" spans="1:6" x14ac:dyDescent="0.3">
      <c r="A8" s="6" t="s">
        <v>232</v>
      </c>
      <c r="B8" s="7">
        <v>1149.93</v>
      </c>
      <c r="C8" s="6" t="s">
        <v>35</v>
      </c>
      <c r="D8" s="7">
        <v>36398.750000000007</v>
      </c>
      <c r="E8" s="6" t="s">
        <v>437</v>
      </c>
      <c r="F8" s="7">
        <v>229192.47000000015</v>
      </c>
    </row>
    <row r="9" spans="1:6" x14ac:dyDescent="0.3">
      <c r="A9" s="6" t="s">
        <v>56</v>
      </c>
      <c r="B9" s="7">
        <v>5089.7300000000005</v>
      </c>
      <c r="C9" s="6" t="s">
        <v>50</v>
      </c>
      <c r="D9" s="7">
        <v>41408.680000000015</v>
      </c>
    </row>
    <row r="10" spans="1:6" x14ac:dyDescent="0.3">
      <c r="A10" s="6" t="s">
        <v>103</v>
      </c>
      <c r="B10" s="7">
        <v>3769.8300000000004</v>
      </c>
      <c r="C10" s="6" t="s">
        <v>437</v>
      </c>
      <c r="D10" s="7">
        <v>229192.47000000006</v>
      </c>
    </row>
    <row r="11" spans="1:6" x14ac:dyDescent="0.3">
      <c r="A11" s="6" t="s">
        <v>148</v>
      </c>
      <c r="B11" s="7">
        <v>7309.7999999999993</v>
      </c>
    </row>
    <row r="12" spans="1:6" x14ac:dyDescent="0.3">
      <c r="A12" s="6" t="s">
        <v>183</v>
      </c>
      <c r="B12" s="7">
        <v>1809.84</v>
      </c>
    </row>
    <row r="13" spans="1:6" x14ac:dyDescent="0.3">
      <c r="A13" s="6" t="s">
        <v>76</v>
      </c>
      <c r="B13" s="7">
        <v>479.91999999999996</v>
      </c>
    </row>
    <row r="14" spans="1:6" x14ac:dyDescent="0.3">
      <c r="A14" s="6" t="s">
        <v>49</v>
      </c>
      <c r="B14" s="7">
        <v>8269.7900000000009</v>
      </c>
    </row>
    <row r="15" spans="1:6" x14ac:dyDescent="0.3">
      <c r="A15" s="6" t="s">
        <v>294</v>
      </c>
      <c r="B15" s="7">
        <v>4829.8899999999994</v>
      </c>
    </row>
    <row r="16" spans="1:6" x14ac:dyDescent="0.3">
      <c r="A16" s="6" t="s">
        <v>124</v>
      </c>
      <c r="B16" s="7">
        <v>11919.769999999999</v>
      </c>
    </row>
    <row r="17" spans="1:2" x14ac:dyDescent="0.3">
      <c r="A17" s="6" t="s">
        <v>212</v>
      </c>
      <c r="B17" s="7">
        <v>3649.8599999999997</v>
      </c>
    </row>
    <row r="18" spans="1:2" x14ac:dyDescent="0.3">
      <c r="A18" s="6" t="s">
        <v>133</v>
      </c>
      <c r="B18" s="7">
        <v>1229.8800000000001</v>
      </c>
    </row>
    <row r="19" spans="1:2" x14ac:dyDescent="0.3">
      <c r="A19" s="6" t="s">
        <v>193</v>
      </c>
      <c r="B19" s="7">
        <v>1479.91</v>
      </c>
    </row>
    <row r="20" spans="1:2" x14ac:dyDescent="0.3">
      <c r="A20" s="6" t="s">
        <v>84</v>
      </c>
      <c r="B20" s="7">
        <v>3779.93</v>
      </c>
    </row>
    <row r="21" spans="1:2" x14ac:dyDescent="0.3">
      <c r="A21" s="6" t="s">
        <v>197</v>
      </c>
      <c r="B21" s="7">
        <v>6379.87</v>
      </c>
    </row>
    <row r="22" spans="1:2" x14ac:dyDescent="0.3">
      <c r="A22" s="6" t="s">
        <v>145</v>
      </c>
      <c r="B22" s="7">
        <v>5519.8899999999994</v>
      </c>
    </row>
    <row r="23" spans="1:2" x14ac:dyDescent="0.3">
      <c r="A23" s="6" t="s">
        <v>121</v>
      </c>
      <c r="B23" s="7">
        <v>6459.79</v>
      </c>
    </row>
    <row r="24" spans="1:2" x14ac:dyDescent="0.3">
      <c r="A24" s="6" t="s">
        <v>305</v>
      </c>
      <c r="B24" s="7">
        <v>179.97</v>
      </c>
    </row>
    <row r="25" spans="1:2" x14ac:dyDescent="0.3">
      <c r="A25" s="6" t="s">
        <v>142</v>
      </c>
      <c r="B25" s="7">
        <v>4739.8500000000004</v>
      </c>
    </row>
    <row r="26" spans="1:2" x14ac:dyDescent="0.3">
      <c r="A26" s="6" t="s">
        <v>387</v>
      </c>
      <c r="B26" s="7">
        <v>599.96</v>
      </c>
    </row>
    <row r="27" spans="1:2" x14ac:dyDescent="0.3">
      <c r="A27" s="6" t="s">
        <v>25</v>
      </c>
      <c r="B27" s="7">
        <v>6949.84</v>
      </c>
    </row>
    <row r="28" spans="1:2" x14ac:dyDescent="0.3">
      <c r="A28" s="6" t="s">
        <v>163</v>
      </c>
      <c r="B28" s="7">
        <v>239.96</v>
      </c>
    </row>
    <row r="29" spans="1:2" x14ac:dyDescent="0.3">
      <c r="A29" s="6" t="s">
        <v>66</v>
      </c>
      <c r="B29" s="7">
        <v>8009.7699999999995</v>
      </c>
    </row>
    <row r="30" spans="1:2" x14ac:dyDescent="0.3">
      <c r="A30" s="6" t="s">
        <v>39</v>
      </c>
      <c r="B30" s="7">
        <v>4309.8099999999995</v>
      </c>
    </row>
    <row r="31" spans="1:2" x14ac:dyDescent="0.3">
      <c r="A31" s="6" t="s">
        <v>30</v>
      </c>
      <c r="B31" s="7">
        <v>3259.87</v>
      </c>
    </row>
    <row r="32" spans="1:2" x14ac:dyDescent="0.3">
      <c r="A32" s="6" t="s">
        <v>227</v>
      </c>
      <c r="B32" s="7">
        <v>6989.7699999999986</v>
      </c>
    </row>
    <row r="33" spans="1:2" x14ac:dyDescent="0.3">
      <c r="A33" s="6" t="s">
        <v>113</v>
      </c>
      <c r="B33" s="7">
        <v>1289.9000000000001</v>
      </c>
    </row>
    <row r="34" spans="1:2" x14ac:dyDescent="0.3">
      <c r="A34" s="6" t="s">
        <v>130</v>
      </c>
      <c r="B34" s="7">
        <v>2039.8000000000002</v>
      </c>
    </row>
    <row r="35" spans="1:2" x14ac:dyDescent="0.3">
      <c r="A35" s="6" t="s">
        <v>186</v>
      </c>
      <c r="B35" s="7">
        <v>2099.88</v>
      </c>
    </row>
    <row r="36" spans="1:2" x14ac:dyDescent="0.3">
      <c r="A36" s="6" t="s">
        <v>90</v>
      </c>
      <c r="B36" s="7">
        <v>1909.93</v>
      </c>
    </row>
    <row r="37" spans="1:2" x14ac:dyDescent="0.3">
      <c r="A37" s="6" t="s">
        <v>87</v>
      </c>
      <c r="B37" s="7">
        <v>15659.65</v>
      </c>
    </row>
    <row r="38" spans="1:2" x14ac:dyDescent="0.3">
      <c r="A38" s="6" t="s">
        <v>43</v>
      </c>
      <c r="B38" s="7">
        <v>6169.7400000000007</v>
      </c>
    </row>
    <row r="39" spans="1:2" x14ac:dyDescent="0.3">
      <c r="A39" s="6" t="s">
        <v>79</v>
      </c>
      <c r="B39" s="7">
        <v>4199.9399999999996</v>
      </c>
    </row>
    <row r="40" spans="1:2" x14ac:dyDescent="0.3">
      <c r="A40" s="6" t="s">
        <v>109</v>
      </c>
      <c r="B40" s="7">
        <v>4189.7700000000004</v>
      </c>
    </row>
    <row r="41" spans="1:2" x14ac:dyDescent="0.3">
      <c r="A41" s="6" t="s">
        <v>100</v>
      </c>
      <c r="B41" s="7">
        <v>9799.73</v>
      </c>
    </row>
    <row r="42" spans="1:2" x14ac:dyDescent="0.3">
      <c r="A42" s="6" t="s">
        <v>16</v>
      </c>
      <c r="B42" s="7">
        <v>8309.739999999998</v>
      </c>
    </row>
    <row r="43" spans="1:2" x14ac:dyDescent="0.3">
      <c r="A43" s="6" t="s">
        <v>73</v>
      </c>
      <c r="B43" s="7">
        <v>5949.85</v>
      </c>
    </row>
    <row r="44" spans="1:2" x14ac:dyDescent="0.3">
      <c r="A44" s="6" t="s">
        <v>172</v>
      </c>
      <c r="B44" s="7">
        <v>3669.8500000000004</v>
      </c>
    </row>
    <row r="45" spans="1:2" x14ac:dyDescent="0.3">
      <c r="A45" s="6" t="s">
        <v>260</v>
      </c>
      <c r="B45" s="7">
        <v>739.93000000000006</v>
      </c>
    </row>
    <row r="46" spans="1:2" x14ac:dyDescent="0.3">
      <c r="A46" s="6" t="s">
        <v>60</v>
      </c>
      <c r="B46" s="7">
        <v>3509.8999999999996</v>
      </c>
    </row>
    <row r="47" spans="1:2" x14ac:dyDescent="0.3">
      <c r="A47" s="6" t="s">
        <v>247</v>
      </c>
      <c r="B47" s="7">
        <v>1749.92</v>
      </c>
    </row>
    <row r="48" spans="1:2" x14ac:dyDescent="0.3">
      <c r="A48" s="6" t="s">
        <v>235</v>
      </c>
      <c r="B48" s="7">
        <v>6349.83</v>
      </c>
    </row>
    <row r="49" spans="1:2" x14ac:dyDescent="0.3">
      <c r="A49" s="6" t="s">
        <v>155</v>
      </c>
      <c r="B49" s="7">
        <v>5499.8099999999995</v>
      </c>
    </row>
    <row r="50" spans="1:2" x14ac:dyDescent="0.3">
      <c r="A50" s="6" t="s">
        <v>151</v>
      </c>
      <c r="B50" s="7">
        <v>5619.869999999999</v>
      </c>
    </row>
    <row r="51" spans="1:2" x14ac:dyDescent="0.3">
      <c r="A51" s="6" t="s">
        <v>139</v>
      </c>
      <c r="B51" s="7">
        <v>2649.83</v>
      </c>
    </row>
    <row r="52" spans="1:2" x14ac:dyDescent="0.3">
      <c r="A52" s="6" t="s">
        <v>69</v>
      </c>
      <c r="B52" s="7">
        <v>1979.89</v>
      </c>
    </row>
    <row r="53" spans="1:2" x14ac:dyDescent="0.3">
      <c r="A53" s="6" t="s">
        <v>94</v>
      </c>
      <c r="B53" s="7">
        <v>4789.7900000000009</v>
      </c>
    </row>
    <row r="54" spans="1:2" x14ac:dyDescent="0.3">
      <c r="A54" s="6" t="s">
        <v>253</v>
      </c>
      <c r="B54" s="7">
        <v>4749.91</v>
      </c>
    </row>
    <row r="55" spans="1:2" x14ac:dyDescent="0.3">
      <c r="A55" s="6" t="s">
        <v>437</v>
      </c>
      <c r="B55" s="7">
        <v>229192.46999999997</v>
      </c>
    </row>
  </sheetData>
  <mergeCells count="3">
    <mergeCell ref="A3:B3"/>
    <mergeCell ref="C3:D3"/>
    <mergeCell ref="E3:F3"/>
  </mergeCells>
  <pageMargins left="0.7" right="0.7" top="0.75" bottom="0.75" header="0.3" footer="0.3"/>
  <drawing r:id="rId4"/>
  <extLst>
    <ext xmlns:x14="http://schemas.microsoft.com/office/spreadsheetml/2009/9/main" uri="{A8765BA9-456A-4dab-B4F3-ACF838C121DE}">
      <x14:slicerList>
        <x14:slicer r:id="rId5"/>
      </x14:slicerList>
    </ext>
    <ext xmlns:x15="http://schemas.microsoft.com/office/spreadsheetml/2010/11/main" uri="{7E03D99C-DC04-49d9-9315-930204A7B6E9}">
      <x15:timelineRefs>
        <x15:timelineRef r:id="rId6"/>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A9ACF-0063-423D-951C-E5BE435A76B7}">
  <dimension ref="A1"/>
  <sheetViews>
    <sheetView showGridLines="0" tabSelected="1" zoomScale="89" zoomScaleNormal="85" workbookViewId="0">
      <selection activeCell="L40" sqref="L40"/>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Linear Regression</vt:lpstr>
      <vt:lpstr>Dataset</vt:lpstr>
      <vt:lpstr>High Value Customer</vt:lpstr>
      <vt:lpstr>Pivot table and 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2026-02-16T10:19:43Z</dcterms:created>
  <dcterms:modified xsi:type="dcterms:W3CDTF">2026-02-21T10:53:01Z</dcterms:modified>
</cp:coreProperties>
</file>